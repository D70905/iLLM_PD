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2_PerRun_default" sheetId="2" state="visible" r:id="rId4"/>
    <sheet name="3_PerRun_strict" sheetId="3" state="visible" r:id="rId5"/>
    <sheet name="4_Aggregate" sheetId="4" state="visible" r:id="rId6"/>
    <sheet name="5_Methods_Coefficien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<sst xmlns="http://schemas.openxmlformats.org/spreadsheetml/2006/main" count="288" uniqueCount="128">
  <si>
    <t xml:space="preserve">ME-PDG Cross-Specification Check — Supplementary Data (R3-12)</t>
  </si>
  <si>
    <t xml:space="preserve">Purpose: verify whether HARA pavement designs optimised under JTG D50-2017 also satisfy ME-PDG</t>
  </si>
  <si>
    <t xml:space="preserve">(NCHRP 1-37A) threshold criteria. This is a STRUCTURAL / DIRECTIONAL cross-specification check,</t>
  </si>
  <si>
    <t xml:space="preserve">NOT a quantitative AASHTOWare Pavement ME (PMED) replication.</t>
  </si>
  <si>
    <t xml:space="preserve">Data provenance:</t>
  </si>
  <si>
    <t xml:space="preserve">  • FEA responses: real ABAQUS CAX4R axisymmetric outputs for each final HARA design</t>
  </si>
  <si>
    <t xml:space="preserve">    (source: hara_fea_responses_20260526_122713.csv; 12 LTPP sections x 3 seeds = 36 runs).</t>
  </si>
  <si>
    <t xml:space="preserve">  • Strains eps_a (AC-bottom tensile) and eps_z (subgrade-top vertical) are MEASURED from FEA,</t>
  </si>
  <si>
    <t xml:space="preserve">    not back-calculated from JTG margins.</t>
  </si>
  <si>
    <t xml:space="preserve">Transfer functions (all NCHRP 1-37A national / global calibration; local beta = 1.0):</t>
  </si>
  <si>
    <t xml:space="preserve">  • Fatigue life N_f : NCHRP 1-37A Eq. 3.3.1 (k1 thickness adj., C=1.0, single-temperature).</t>
  </si>
  <si>
    <t xml:space="preserve">  • Fatigue cracking FC% : national thickness-dependent transfer function with C1', C2'</t>
  </si>
  <si>
    <t xml:space="preserve">    (C2' = -2.40874 - 39.748(1+h_ac)^-2.856 ; C1' = -2 C2').</t>
  </si>
  <si>
    <t xml:space="preserve">  • Rutting RD : NCHRP 1-37A per-layer permanent-deformation model INCLUDING the HMA depth</t>
  </si>
  <si>
    <t xml:space="preserve">    factor k_z = (C1 + C2 D) 0.328196^D (C1,C2 polynomials in AC thickness). Unbound base and</t>
  </si>
  <si>
    <t xml:space="preserve">    subgrade use the Tseng-Lytton form. Omitting k_z would inflate RD ~3x.</t>
  </si>
  <si>
    <t xml:space="preserve">  • IRI : NCHRP 1-37A Eq. 3.3.29 (IRI0 + 0.0150 SF + 0.400 FC + 40 RD_in).</t>
  </si>
  <si>
    <t xml:space="preserve">Calibration disclosure (keep verbatim in Methods + response letter):</t>
  </si>
  <si>
    <t xml:space="preserve">  The transfer-function STRUCTURE and the GLOBAL calibration coefficients are public (NCHRP 1-37A;</t>
  </si>
  <si>
    <t xml:space="preserve">  NAP 22781 ch.2; NCHRP 09-30A App.K). We do NOT use PMED-internal locally-recalibrated beta</t>
  </si>
  <si>
    <t xml:space="preserve">  coefficients (not public). All local beta = 1.0. Evaluation is single-temperature, single-pass</t>
  </si>
  <si>
    <t xml:space="preserve">  (no hourly-climate Miner accumulation). The HMA mid-depth vertical strain is an elastic proxy</t>
  </si>
  <si>
    <t xml:space="preserve">  obtained from the real FEA vertical stress (sigma_v / E_ac).</t>
  </si>
  <si>
    <t xml:space="preserve">Design traffic: N_e = 4.0e6 ESAL/yr x 20 yr = 8.0e7. Reference T_pavement = 73 F.</t>
  </si>
  <si>
    <t xml:space="preserve">Thresholds:</t>
  </si>
  <si>
    <t xml:space="preserve">  • default (90% reliability, Interstate): FC &lt;= 25%, RD &lt;= 19 mm, IRI &lt;= 172 in/mi.</t>
  </si>
  <si>
    <t xml:space="preserve">  • strict  (95% reliability, Interstate): FC &lt;= 20%, RD &lt;= 16 mm, IRI &lt;= 160 in/mi.</t>
  </si>
  <si>
    <t xml:space="preserve">Headline result: 36/36 HARA designs comply under BOTH threshold sets (FC, RD, IRI each 100%).</t>
  </si>
  <si>
    <t xml:space="preserve">Interpretation: fatigue and IRI pass with large margin (high AC modulus -&gt; low eps_a -&gt; N_f &gt;&gt; N_e);</t>
  </si>
  <si>
    <t xml:space="preserve">rutting is the only criterion with numerical tension (RD 8.8-13.6 mm vs 19/16 mm), dominated by the</t>
  </si>
  <si>
    <t xml:space="preserve">HMA layer, confirming the check is discriminating rather than trivially passing.</t>
  </si>
  <si>
    <t xml:space="preserve">Sheets: 2_PerRun_default (36 rows) | 3_PerRun_strict (36 rows) | 4_Aggregate | 5_Methods_Coefficients</t>
  </si>
  <si>
    <t xml:space="preserve">Per-run ME-PDG metrics — DEFAULT thresholds (90% reliability)</t>
  </si>
  <si>
    <t xml:space="preserve">FC&lt;=25%  RD&lt;=19mm  IRI&lt;=172 in/mi  |  nominal NCHRP 1-37A calibration (beta=1.0)</t>
  </si>
  <si>
    <t xml:space="preserve">section_id</t>
  </si>
  <si>
    <t xml:space="preserve">seed</t>
  </si>
  <si>
    <t xml:space="preserve">pavement_type</t>
  </si>
  <si>
    <t xml:space="preserve">E_subgrade</t>
  </si>
  <si>
    <t xml:space="preserve">eps_a_micro</t>
  </si>
  <si>
    <t xml:space="preserve">eps_z_micro</t>
  </si>
  <si>
    <t xml:space="preserve">eps_HMA_mid_micro</t>
  </si>
  <si>
    <t xml:space="preserve">E_ac_MPa</t>
  </si>
  <si>
    <t xml:space="preserve">h_ac_cm</t>
  </si>
  <si>
    <t xml:space="preserve">FC_percent</t>
  </si>
  <si>
    <t xml:space="preserve">RD_total_mm</t>
  </si>
  <si>
    <t xml:space="preserve">RD_HMA_mm</t>
  </si>
  <si>
    <t xml:space="preserve">RD_base_mm</t>
  </si>
  <si>
    <t xml:space="preserve">RD_subgrade_mm</t>
  </si>
  <si>
    <t xml:space="preserve">IRI_in_per_mi</t>
  </si>
  <si>
    <t xml:space="preserve">N_f_fatigue</t>
  </si>
  <si>
    <t xml:space="preserve">margin_FC</t>
  </si>
  <si>
    <t xml:space="preserve">margin_RD</t>
  </si>
  <si>
    <t xml:space="preserve">margin_subgrade</t>
  </si>
  <si>
    <t xml:space="preserve">pass_FC</t>
  </si>
  <si>
    <t xml:space="preserve">pass_RD</t>
  </si>
  <si>
    <t xml:space="preserve">pass_IRI</t>
  </si>
  <si>
    <t xml:space="preserve">MEPDG_all_pass</t>
  </si>
  <si>
    <t xml:space="preserve">04_1034</t>
  </si>
  <si>
    <t xml:space="preserve">flexible</t>
  </si>
  <si>
    <t xml:space="preserve">04_1065</t>
  </si>
  <si>
    <t xml:space="preserve">semi_rigid</t>
  </si>
  <si>
    <t xml:space="preserve">06_2004</t>
  </si>
  <si>
    <t xml:space="preserve">12_1060</t>
  </si>
  <si>
    <t xml:space="preserve">12_4097</t>
  </si>
  <si>
    <t xml:space="preserve">16_1010</t>
  </si>
  <si>
    <t xml:space="preserve">27_1085</t>
  </si>
  <si>
    <t xml:space="preserve">27_2023</t>
  </si>
  <si>
    <t xml:space="preserve">30_7076</t>
  </si>
  <si>
    <t xml:space="preserve">48_0001</t>
  </si>
  <si>
    <t xml:space="preserve">48_1076</t>
  </si>
  <si>
    <t xml:space="preserve">48_1109</t>
  </si>
  <si>
    <t xml:space="preserve">Per-run ME-PDG metrics — STRICT thresholds (95% reliability)</t>
  </si>
  <si>
    <t xml:space="preserve">FC&lt;=20%  RD&lt;=16mm  IRI&lt;=160 in/mi  |  nominal NCHRP 1-37A calibration (beta=1.0)</t>
  </si>
  <si>
    <t xml:space="preserve">Aggregate by pavement type</t>
  </si>
  <si>
    <t xml:space="preserve">threshold_set</t>
  </si>
  <si>
    <t xml:space="preserve">n</t>
  </si>
  <si>
    <t xml:space="preserve">FC_mean(%)</t>
  </si>
  <si>
    <t xml:space="preserve">FC_max(%)</t>
  </si>
  <si>
    <t xml:space="preserve">RD_mean(mm)</t>
  </si>
  <si>
    <t xml:space="preserve">RD_max(mm)</t>
  </si>
  <si>
    <t xml:space="preserve">IRI_mean</t>
  </si>
  <si>
    <t xml:space="preserve">IRI_max</t>
  </si>
  <si>
    <t xml:space="preserve">compliance_rate(%)</t>
  </si>
  <si>
    <t xml:space="preserve">default</t>
  </si>
  <si>
    <t xml:space="preserve">strict</t>
  </si>
  <si>
    <t xml:space="preserve">ME-PDG transfer-function coefficients (NCHRP 1-37A global calibration)</t>
  </si>
  <si>
    <t xml:space="preserve">Item</t>
  </si>
  <si>
    <t xml:space="preserve">Value</t>
  </si>
  <si>
    <t xml:space="preserve">Source / note</t>
  </si>
  <si>
    <t xml:space="preserve">Design ESAL N_e</t>
  </si>
  <si>
    <t xml:space="preserve">8.0e7</t>
  </si>
  <si>
    <t xml:space="preserve">4.0e6 ESAL/yr x 20 yr (heavy expressway, Level-3 demo input)</t>
  </si>
  <si>
    <t xml:space="preserve">Reference T_pavement</t>
  </si>
  <si>
    <t xml:space="preserve">73 F</t>
  </si>
  <si>
    <t xml:space="preserve">Single-temperature simplification (S1); MAAT proxy</t>
  </si>
  <si>
    <t xml:space="preserve">Fatigue k1 (thickness adj.)</t>
  </si>
  <si>
    <t xml:space="preserve">Eq. 3.3.4</t>
  </si>
  <si>
    <t xml:space="preserve">1/(0.000398+0.003602/(1+e^(11.02-3.49 h_ac_in)))</t>
  </si>
  <si>
    <t xml:space="preserve">Fatigue beta_f1,f2,f3</t>
  </si>
  <si>
    <t xml:space="preserve">0.00432, 3.9492, 1.281</t>
  </si>
  <si>
    <t xml:space="preserve">NCHRP 1-37A Eq.3.3.1; C=1.0 (S6)</t>
  </si>
  <si>
    <t xml:space="preserve">FC% C2'</t>
  </si>
  <si>
    <t xml:space="preserve">-2.40874-39.748(1+h_ac)^-2.856</t>
  </si>
  <si>
    <t xml:space="preserve">National thickness-dependent transfer fn</t>
  </si>
  <si>
    <t xml:space="preserve">FC% C1'</t>
  </si>
  <si>
    <t xml:space="preserve">-2 * C2'</t>
  </si>
  <si>
    <t xml:space="preserve">National transfer fn</t>
  </si>
  <si>
    <t xml:space="preserve">HMA rut kr1,kr2,kr3</t>
  </si>
  <si>
    <t xml:space="preserve">-3.35412, 1.5606, 0.4791</t>
  </si>
  <si>
    <t xml:space="preserve">NCHRP 1-37A / 1-40D global</t>
  </si>
  <si>
    <t xml:space="preserve">HMA depth factor k_z</t>
  </si>
  <si>
    <t xml:space="preserve">(C1+C2 D) 0.328196^D</t>
  </si>
  <si>
    <t xml:space="preserve">C1=-0.1039H^2+2.4868H-17.342; C2=0.0172H^2-1.7331H+27.428 (H,D in inch)</t>
  </si>
  <si>
    <t xml:space="preserve">Granular rut (beta1,e0,rho,beta)</t>
  </si>
  <si>
    <t xml:space="preserve">1.673, 2.03, 650, 0.92</t>
  </si>
  <si>
    <t xml:space="preserve">Tseng-Lytton unbound base</t>
  </si>
  <si>
    <t xml:space="preserve">Subgrade rut (beta1,e0,rho,beta)</t>
  </si>
  <si>
    <t xml:space="preserve">1.350, 1.62, 367, 1.04</t>
  </si>
  <si>
    <t xml:space="preserve">Tseng-Lytton subgrade</t>
  </si>
  <si>
    <t xml:space="preserve">Subgrade eff. depth</t>
  </si>
  <si>
    <t xml:space="preserve">152.4 mm</t>
  </si>
  <si>
    <t xml:space="preserve">NCHRP default 6 in</t>
  </si>
  <si>
    <t xml:space="preserve">Local calibration beta</t>
  </si>
  <si>
    <t xml:space="preserve">1.0 (all)</t>
  </si>
  <si>
    <t xml:space="preserve">NOMINAL national calibration; NOT PMED local recalibration</t>
  </si>
  <si>
    <t xml:space="preserve">HMA mid-depth strain</t>
  </si>
  <si>
    <t xml:space="preserve">sigma_v / E_ac</t>
  </si>
  <si>
    <t xml:space="preserve">Elastic proxy from real FEA vertical stress p_AC_mid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</si>
</sst>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00"/>
    <numFmt numFmtId="167" formatCode="0.00"/>
    <numFmt numFmtId="168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/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/>
    </row>
    <row r="13" customFormat="false" ht="15" hidden="false" customHeight="true" outlineLevel="0" collapsed="false">
      <c r="A13" s="3" t="s">
        <v>9</v>
      </c>
    </row>
    <row r="14" customFormat="false" ht="15" hidden="false" customHeight="true" outlineLevel="0" collapsed="false">
      <c r="A14" s="3" t="s">
        <v>10</v>
      </c>
    </row>
    <row r="15" customFormat="false" ht="15" hidden="false" customHeight="true" outlineLevel="0" collapsed="false">
      <c r="A15" s="3" t="s">
        <v>11</v>
      </c>
    </row>
    <row r="16" customFormat="false" ht="15" hidden="false" customHeight="true" outlineLevel="0" collapsed="false">
      <c r="A16" s="3" t="s">
        <v>12</v>
      </c>
    </row>
    <row r="17" customFormat="false" ht="15" hidden="false" customHeight="true" outlineLevel="0" collapsed="false">
      <c r="A17" s="3" t="s">
        <v>13</v>
      </c>
    </row>
    <row r="18" customFormat="false" ht="1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 t="s">
        <v>16</v>
      </c>
    </row>
    <row r="21" customFormat="false" ht="15" hidden="false" customHeight="true" outlineLevel="0" collapsed="false">
      <c r="A21" s="3"/>
    </row>
    <row r="22" customFormat="false" ht="15" hidden="false" customHeight="true" outlineLevel="0" collapsed="false">
      <c r="A22" s="3" t="s">
        <v>17</v>
      </c>
    </row>
    <row r="23" customFormat="false" ht="15" hidden="false" customHeight="true" outlineLevel="0" collapsed="false">
      <c r="A23" s="3" t="s">
        <v>18</v>
      </c>
    </row>
    <row r="24" customFormat="false" ht="15" hidden="false" customHeight="true" outlineLevel="0" collapsed="false">
      <c r="A24" s="3" t="s">
        <v>19</v>
      </c>
    </row>
    <row r="25" customFormat="false" ht="15" hidden="false" customHeight="true" outlineLevel="0" collapsed="false">
      <c r="A25" s="3" t="s">
        <v>20</v>
      </c>
    </row>
    <row r="26" customFormat="false" ht="15" hidden="false" customHeight="true" outlineLevel="0" collapsed="false">
      <c r="A26" s="3" t="s">
        <v>21</v>
      </c>
    </row>
    <row r="27" customFormat="false" ht="15" hidden="false" customHeight="true" outlineLevel="0" collapsed="false">
      <c r="A27" s="3" t="s">
        <v>22</v>
      </c>
    </row>
    <row r="28" customFormat="false" ht="15" hidden="false" customHeight="true" outlineLevel="0" collapsed="false">
      <c r="A28" s="3"/>
    </row>
    <row r="29" customFormat="false" ht="15" hidden="false" customHeight="true" outlineLevel="0" collapsed="false">
      <c r="A29" s="3" t="s">
        <v>23</v>
      </c>
    </row>
    <row r="30" customFormat="false" ht="15" hidden="false" customHeight="true" outlineLevel="0" collapsed="false">
      <c r="A30" s="3"/>
    </row>
    <row r="31" customFormat="false" ht="15" hidden="false" customHeight="true" outlineLevel="0" collapsed="false">
      <c r="A31" s="3" t="s">
        <v>24</v>
      </c>
    </row>
    <row r="32" customFormat="false" ht="15" hidden="false" customHeight="true" outlineLevel="0" collapsed="false">
      <c r="A32" s="3" t="s">
        <v>25</v>
      </c>
    </row>
    <row r="33" customFormat="false" ht="15" hidden="false" customHeight="true" outlineLevel="0" collapsed="false">
      <c r="A33" s="3" t="s">
        <v>26</v>
      </c>
    </row>
    <row r="34" customFormat="false" ht="15" hidden="false" customHeight="true" outlineLevel="0" collapsed="false">
      <c r="A34" s="3"/>
    </row>
    <row r="35" customFormat="false" ht="15" hidden="false" customHeight="true" outlineLevel="0" collapsed="false">
      <c r="A35" s="3" t="s">
        <v>27</v>
      </c>
    </row>
    <row r="36" customFormat="false" ht="15" hidden="false" customHeight="true" outlineLevel="0" collapsed="false">
      <c r="A36" s="3" t="s">
        <v>28</v>
      </c>
    </row>
    <row r="37" customFormat="false" ht="15" hidden="false" customHeight="true" outlineLevel="0" collapsed="false">
      <c r="A37" s="3" t="s">
        <v>29</v>
      </c>
    </row>
    <row r="38" customFormat="false" ht="15" hidden="false" customHeight="true" outlineLevel="0" collapsed="false">
      <c r="A38" s="3" t="s">
        <v>30</v>
      </c>
    </row>
    <row r="39" customFormat="false" ht="15" hidden="false" customHeight="true" outlineLevel="0" collapsed="false">
      <c r="A39" s="3"/>
    </row>
    <row r="40" customFormat="false" ht="15" hidden="false" customHeight="true" outlineLevel="0" collapsed="false">
      <c r="A40" s="3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"/>
    <col collapsed="false" customWidth="true" hidden="false" outlineLevel="0" max="3" min="3" style="1" width="13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19"/>
    <col collapsed="false" customWidth="true" hidden="false" outlineLevel="0" max="9" min="8" style="1" width="11"/>
    <col collapsed="false" customWidth="true" hidden="false" outlineLevel="0" max="10" min="10" style="1" width="12"/>
    <col collapsed="false" customWidth="true" hidden="false" outlineLevel="0" max="11" min="11" style="1" width="13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16"/>
    <col collapsed="false" customWidth="true" hidden="false" outlineLevel="0" max="15" min="15" style="1" width="15"/>
    <col collapsed="false" customWidth="true" hidden="false" outlineLevel="0" max="16" min="16" style="1" width="14"/>
    <col collapsed="false" customWidth="true" hidden="false" outlineLevel="0" max="18" min="17" style="1" width="11"/>
    <col collapsed="false" customWidth="true" hidden="false" outlineLevel="0" max="19" min="19" style="1" width="17"/>
    <col collapsed="false" customWidth="true" hidden="false" outlineLevel="0" max="22" min="20" style="1" width="11"/>
    <col collapsed="false" customWidth="true" hidden="false" outlineLevel="0" max="23" min="23" style="1" width="16"/>
  </cols>
  <sheetData>
    <row r="1" customFormat="false" ht="15.75" hidden="false" customHeight="true" outlineLevel="0" collapsed="false">
      <c r="A1" s="2" t="s">
        <v>32</v>
      </c>
    </row>
    <row r="2" customFormat="false" ht="15" hidden="false" customHeight="true" outlineLevel="0" collapsed="false">
      <c r="A2" s="4" t="s">
        <v>33</v>
      </c>
    </row>
    <row r="4" customFormat="false" ht="15" hidden="false" customHeight="true" outlineLevel="0" collapsed="false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40</v>
      </c>
      <c r="H4" s="5" t="s">
        <v>41</v>
      </c>
      <c r="I4" s="5" t="s">
        <v>42</v>
      </c>
      <c r="J4" s="5" t="s">
        <v>43</v>
      </c>
      <c r="K4" s="5" t="s">
        <v>44</v>
      </c>
      <c r="L4" s="5" t="s">
        <v>45</v>
      </c>
      <c r="M4" s="5" t="s">
        <v>46</v>
      </c>
      <c r="N4" s="5" t="s">
        <v>47</v>
      </c>
      <c r="O4" s="5" t="s">
        <v>48</v>
      </c>
      <c r="P4" s="5" t="s">
        <v>49</v>
      </c>
      <c r="Q4" s="5" t="s">
        <v>50</v>
      </c>
      <c r="R4" s="5" t="s">
        <v>51</v>
      </c>
      <c r="S4" s="5" t="s">
        <v>52</v>
      </c>
      <c r="T4" s="5" t="s">
        <v>53</v>
      </c>
      <c r="U4" s="5" t="s">
        <v>54</v>
      </c>
      <c r="V4" s="5" t="s">
        <v>55</v>
      </c>
      <c r="W4" s="5" t="s">
        <v>56</v>
      </c>
    </row>
    <row r="5" customFormat="false" ht="15" hidden="false" customHeight="true" outlineLevel="0" collapsed="false">
      <c r="A5" s="6" t="s">
        <v>57</v>
      </c>
      <c r="B5" s="6" t="n">
        <v>0</v>
      </c>
      <c r="C5" s="6" t="s">
        <v>58</v>
      </c>
      <c r="D5" s="6" t="n">
        <v>91.2929362090608</v>
      </c>
      <c r="E5" s="6" t="n">
        <v>36.56</v>
      </c>
      <c r="F5" s="6" t="n">
        <v>58.86</v>
      </c>
      <c r="G5" s="6" t="n">
        <v>59.75</v>
      </c>
      <c r="H5" s="6" t="n">
        <v>10492</v>
      </c>
      <c r="I5" s="6" t="n">
        <v>22.8</v>
      </c>
      <c r="J5" s="6" t="n">
        <v>0.0269</v>
      </c>
      <c r="K5" s="6" t="n">
        <v>11.405</v>
      </c>
      <c r="L5" s="6" t="n">
        <v>11.247</v>
      </c>
      <c r="M5" s="6" t="n">
        <v>0.119</v>
      </c>
      <c r="N5" s="6" t="n">
        <v>0.039</v>
      </c>
      <c r="O5" s="6" t="n">
        <v>80.99</v>
      </c>
      <c r="P5" s="6" t="n">
        <v>1731761706.44378</v>
      </c>
      <c r="Q5" s="6" t="n">
        <v>928.734</v>
      </c>
      <c r="R5" s="6" t="n">
        <v>1.666</v>
      </c>
      <c r="S5" s="6" t="n">
        <v>3.18</v>
      </c>
      <c r="T5" s="7" t="b">
        <f aca="false">TRUE()</f>
        <v>1</v>
      </c>
      <c r="U5" s="7" t="b">
        <f aca="false">TRUE()</f>
        <v>1</v>
      </c>
      <c r="V5" s="7" t="b">
        <f aca="false">TRUE()</f>
        <v>1</v>
      </c>
      <c r="W5" s="8" t="b">
        <f aca="false">TRUE()</f>
        <v>1</v>
      </c>
    </row>
    <row r="6" customFormat="false" ht="15" hidden="false" customHeight="true" outlineLevel="0" collapsed="false">
      <c r="A6" s="6" t="s">
        <v>57</v>
      </c>
      <c r="B6" s="6" t="n">
        <v>1</v>
      </c>
      <c r="C6" s="6" t="s">
        <v>58</v>
      </c>
      <c r="D6" s="6" t="n">
        <v>91.2929362090608</v>
      </c>
      <c r="E6" s="6" t="n">
        <v>36.56</v>
      </c>
      <c r="F6" s="6" t="n">
        <v>58.86</v>
      </c>
      <c r="G6" s="6" t="n">
        <v>59.75</v>
      </c>
      <c r="H6" s="6" t="n">
        <v>10492</v>
      </c>
      <c r="I6" s="6" t="n">
        <v>22.8</v>
      </c>
      <c r="J6" s="6" t="n">
        <v>0.0269</v>
      </c>
      <c r="K6" s="6" t="n">
        <v>11.405</v>
      </c>
      <c r="L6" s="6" t="n">
        <v>11.247</v>
      </c>
      <c r="M6" s="6" t="n">
        <v>0.119</v>
      </c>
      <c r="N6" s="6" t="n">
        <v>0.039</v>
      </c>
      <c r="O6" s="6" t="n">
        <v>80.99</v>
      </c>
      <c r="P6" s="6" t="n">
        <v>1731761706.44378</v>
      </c>
      <c r="Q6" s="6" t="n">
        <v>928.734</v>
      </c>
      <c r="R6" s="6" t="n">
        <v>1.666</v>
      </c>
      <c r="S6" s="6" t="n">
        <v>3.18</v>
      </c>
      <c r="T6" s="7" t="b">
        <f aca="false">TRUE()</f>
        <v>1</v>
      </c>
      <c r="U6" s="7" t="b">
        <f aca="false">TRUE()</f>
        <v>1</v>
      </c>
      <c r="V6" s="7" t="b">
        <f aca="false">TRUE()</f>
        <v>1</v>
      </c>
      <c r="W6" s="8" t="b">
        <f aca="false">TRUE()</f>
        <v>1</v>
      </c>
    </row>
    <row r="7" customFormat="false" ht="15" hidden="false" customHeight="true" outlineLevel="0" collapsed="false">
      <c r="A7" s="6" t="s">
        <v>57</v>
      </c>
      <c r="B7" s="6" t="n">
        <v>2</v>
      </c>
      <c r="C7" s="6" t="s">
        <v>58</v>
      </c>
      <c r="D7" s="6" t="n">
        <v>91.2929362090608</v>
      </c>
      <c r="E7" s="6" t="n">
        <v>36.56</v>
      </c>
      <c r="F7" s="6" t="n">
        <v>58.86</v>
      </c>
      <c r="G7" s="6" t="n">
        <v>59.75</v>
      </c>
      <c r="H7" s="6" t="n">
        <v>10492</v>
      </c>
      <c r="I7" s="6" t="n">
        <v>22.8</v>
      </c>
      <c r="J7" s="6" t="n">
        <v>0.0269</v>
      </c>
      <c r="K7" s="6" t="n">
        <v>11.405</v>
      </c>
      <c r="L7" s="6" t="n">
        <v>11.247</v>
      </c>
      <c r="M7" s="6" t="n">
        <v>0.119</v>
      </c>
      <c r="N7" s="6" t="n">
        <v>0.039</v>
      </c>
      <c r="O7" s="6" t="n">
        <v>80.99</v>
      </c>
      <c r="P7" s="6" t="n">
        <v>1731761706.44378</v>
      </c>
      <c r="Q7" s="6" t="n">
        <v>928.734</v>
      </c>
      <c r="R7" s="6" t="n">
        <v>1.666</v>
      </c>
      <c r="S7" s="6" t="n">
        <v>3.18</v>
      </c>
      <c r="T7" s="7" t="b">
        <f aca="false">TRUE()</f>
        <v>1</v>
      </c>
      <c r="U7" s="7" t="b">
        <f aca="false">TRUE()</f>
        <v>1</v>
      </c>
      <c r="V7" s="7" t="b">
        <f aca="false">TRUE()</f>
        <v>1</v>
      </c>
      <c r="W7" s="8" t="b">
        <f aca="false">TRUE()</f>
        <v>1</v>
      </c>
    </row>
    <row r="8" customFormat="false" ht="15" hidden="false" customHeight="true" outlineLevel="0" collapsed="false">
      <c r="A8" s="6" t="s">
        <v>59</v>
      </c>
      <c r="B8" s="6" t="n">
        <v>0</v>
      </c>
      <c r="C8" s="6" t="s">
        <v>60</v>
      </c>
      <c r="D8" s="6" t="n">
        <v>91.2929362090608</v>
      </c>
      <c r="E8" s="6" t="n">
        <v>20.87</v>
      </c>
      <c r="F8" s="6" t="n">
        <v>38.58</v>
      </c>
      <c r="G8" s="6" t="n">
        <v>52.66</v>
      </c>
      <c r="H8" s="6" t="n">
        <v>10230</v>
      </c>
      <c r="I8" s="6" t="n">
        <v>23.3</v>
      </c>
      <c r="J8" s="6" t="n">
        <v>0.0025</v>
      </c>
      <c r="K8" s="6" t="n">
        <v>9.194</v>
      </c>
      <c r="L8" s="6" t="n">
        <v>9.053</v>
      </c>
      <c r="M8" s="6" t="n">
        <v>0.116</v>
      </c>
      <c r="N8" s="6" t="n">
        <v>0.026</v>
      </c>
      <c r="O8" s="6" t="n">
        <v>77.5</v>
      </c>
      <c r="P8" s="6" t="n">
        <v>16372124011.248</v>
      </c>
      <c r="Q8" s="6" t="n">
        <v>10138.944</v>
      </c>
      <c r="R8" s="6" t="n">
        <v>2.066</v>
      </c>
      <c r="S8" s="6" t="n">
        <v>4.852</v>
      </c>
      <c r="T8" s="7" t="b">
        <f aca="false">TRUE()</f>
        <v>1</v>
      </c>
      <c r="U8" s="7" t="b">
        <f aca="false">TRUE()</f>
        <v>1</v>
      </c>
      <c r="V8" s="7" t="b">
        <f aca="false">TRUE()</f>
        <v>1</v>
      </c>
      <c r="W8" s="8" t="b">
        <f aca="false">TRUE()</f>
        <v>1</v>
      </c>
    </row>
    <row r="9" customFormat="false" ht="15" hidden="false" customHeight="true" outlineLevel="0" collapsed="false">
      <c r="A9" s="6" t="s">
        <v>59</v>
      </c>
      <c r="B9" s="6" t="n">
        <v>1</v>
      </c>
      <c r="C9" s="6" t="s">
        <v>60</v>
      </c>
      <c r="D9" s="6" t="n">
        <v>91.2929362090608</v>
      </c>
      <c r="E9" s="6" t="n">
        <v>20.87</v>
      </c>
      <c r="F9" s="6" t="n">
        <v>38.58</v>
      </c>
      <c r="G9" s="6" t="n">
        <v>52.66</v>
      </c>
      <c r="H9" s="6" t="n">
        <v>10230</v>
      </c>
      <c r="I9" s="6" t="n">
        <v>23.3</v>
      </c>
      <c r="J9" s="6" t="n">
        <v>0.0025</v>
      </c>
      <c r="K9" s="6" t="n">
        <v>9.194</v>
      </c>
      <c r="L9" s="6" t="n">
        <v>9.053</v>
      </c>
      <c r="M9" s="6" t="n">
        <v>0.116</v>
      </c>
      <c r="N9" s="6" t="n">
        <v>0.026</v>
      </c>
      <c r="O9" s="6" t="n">
        <v>77.5</v>
      </c>
      <c r="P9" s="6" t="n">
        <v>16372124011.248</v>
      </c>
      <c r="Q9" s="6" t="n">
        <v>10138.944</v>
      </c>
      <c r="R9" s="6" t="n">
        <v>2.066</v>
      </c>
      <c r="S9" s="6" t="n">
        <v>4.852</v>
      </c>
      <c r="T9" s="7" t="b">
        <f aca="false">TRUE()</f>
        <v>1</v>
      </c>
      <c r="U9" s="7" t="b">
        <f aca="false">TRUE()</f>
        <v>1</v>
      </c>
      <c r="V9" s="7" t="b">
        <f aca="false">TRUE()</f>
        <v>1</v>
      </c>
      <c r="W9" s="8" t="b">
        <f aca="false">TRUE()</f>
        <v>1</v>
      </c>
    </row>
    <row r="10" customFormat="false" ht="15" hidden="false" customHeight="true" outlineLevel="0" collapsed="false">
      <c r="A10" s="6" t="s">
        <v>59</v>
      </c>
      <c r="B10" s="6" t="n">
        <v>2</v>
      </c>
      <c r="C10" s="6" t="s">
        <v>60</v>
      </c>
      <c r="D10" s="6" t="n">
        <v>91.2929362090608</v>
      </c>
      <c r="E10" s="6" t="n">
        <v>20.87</v>
      </c>
      <c r="F10" s="6" t="n">
        <v>38.58</v>
      </c>
      <c r="G10" s="6" t="n">
        <v>52.66</v>
      </c>
      <c r="H10" s="6" t="n">
        <v>10230</v>
      </c>
      <c r="I10" s="6" t="n">
        <v>23.3</v>
      </c>
      <c r="J10" s="6" t="n">
        <v>0.0025</v>
      </c>
      <c r="K10" s="6" t="n">
        <v>9.194</v>
      </c>
      <c r="L10" s="6" t="n">
        <v>9.053</v>
      </c>
      <c r="M10" s="6" t="n">
        <v>0.116</v>
      </c>
      <c r="N10" s="6" t="n">
        <v>0.026</v>
      </c>
      <c r="O10" s="6" t="n">
        <v>77.5</v>
      </c>
      <c r="P10" s="6" t="n">
        <v>16372124011.248</v>
      </c>
      <c r="Q10" s="6" t="n">
        <v>10138.944</v>
      </c>
      <c r="R10" s="6" t="n">
        <v>2.066</v>
      </c>
      <c r="S10" s="6" t="n">
        <v>4.852</v>
      </c>
      <c r="T10" s="7" t="b">
        <f aca="false">TRUE()</f>
        <v>1</v>
      </c>
      <c r="U10" s="7" t="b">
        <f aca="false">TRUE()</f>
        <v>1</v>
      </c>
      <c r="V10" s="7" t="b">
        <f aca="false">TRUE()</f>
        <v>1</v>
      </c>
      <c r="W10" s="8" t="b">
        <f aca="false">TRUE()</f>
        <v>1</v>
      </c>
    </row>
    <row r="11" customFormat="false" ht="15" hidden="false" customHeight="true" outlineLevel="0" collapsed="false">
      <c r="A11" s="6" t="s">
        <v>61</v>
      </c>
      <c r="B11" s="6" t="n">
        <v>0</v>
      </c>
      <c r="C11" s="6" t="s">
        <v>60</v>
      </c>
      <c r="D11" s="6" t="n">
        <v>112.485939257593</v>
      </c>
      <c r="E11" s="6" t="n">
        <v>20.7</v>
      </c>
      <c r="F11" s="6" t="n">
        <v>35.2</v>
      </c>
      <c r="G11" s="6" t="n">
        <v>52.58</v>
      </c>
      <c r="H11" s="6" t="n">
        <v>10224</v>
      </c>
      <c r="I11" s="6" t="n">
        <v>23.4</v>
      </c>
      <c r="J11" s="6" t="n">
        <v>0.0024</v>
      </c>
      <c r="K11" s="6" t="n">
        <v>9.029</v>
      </c>
      <c r="L11" s="6" t="n">
        <v>8.9</v>
      </c>
      <c r="M11" s="6" t="n">
        <v>0.106</v>
      </c>
      <c r="N11" s="6" t="n">
        <v>0.023</v>
      </c>
      <c r="O11" s="6" t="n">
        <v>77.24</v>
      </c>
      <c r="P11" s="6" t="n">
        <v>16921704899.0831</v>
      </c>
      <c r="Q11" s="6" t="n">
        <v>10479.646</v>
      </c>
      <c r="R11" s="6" t="n">
        <v>2.104</v>
      </c>
      <c r="S11" s="6" t="n">
        <v>5.318</v>
      </c>
      <c r="T11" s="7" t="b">
        <f aca="false">TRUE()</f>
        <v>1</v>
      </c>
      <c r="U11" s="7" t="b">
        <f aca="false">TRUE()</f>
        <v>1</v>
      </c>
      <c r="V11" s="7" t="b">
        <f aca="false">TRUE()</f>
        <v>1</v>
      </c>
      <c r="W11" s="8" t="b">
        <f aca="false">TRUE()</f>
        <v>1</v>
      </c>
    </row>
    <row r="12" customFormat="false" ht="15" hidden="false" customHeight="true" outlineLevel="0" collapsed="false">
      <c r="A12" s="6" t="s">
        <v>61</v>
      </c>
      <c r="B12" s="6" t="n">
        <v>1</v>
      </c>
      <c r="C12" s="6" t="s">
        <v>60</v>
      </c>
      <c r="D12" s="6" t="n">
        <v>112.485939257593</v>
      </c>
      <c r="E12" s="6" t="n">
        <v>20.7</v>
      </c>
      <c r="F12" s="6" t="n">
        <v>35.2</v>
      </c>
      <c r="G12" s="6" t="n">
        <v>52.58</v>
      </c>
      <c r="H12" s="6" t="n">
        <v>10224</v>
      </c>
      <c r="I12" s="6" t="n">
        <v>23.4</v>
      </c>
      <c r="J12" s="6" t="n">
        <v>0.0024</v>
      </c>
      <c r="K12" s="6" t="n">
        <v>9.029</v>
      </c>
      <c r="L12" s="6" t="n">
        <v>8.9</v>
      </c>
      <c r="M12" s="6" t="n">
        <v>0.106</v>
      </c>
      <c r="N12" s="6" t="n">
        <v>0.023</v>
      </c>
      <c r="O12" s="6" t="n">
        <v>77.24</v>
      </c>
      <c r="P12" s="6" t="n">
        <v>16921704899.0831</v>
      </c>
      <c r="Q12" s="6" t="n">
        <v>10479.646</v>
      </c>
      <c r="R12" s="6" t="n">
        <v>2.104</v>
      </c>
      <c r="S12" s="6" t="n">
        <v>5.318</v>
      </c>
      <c r="T12" s="7" t="b">
        <f aca="false">TRUE()</f>
        <v>1</v>
      </c>
      <c r="U12" s="7" t="b">
        <f aca="false">TRUE()</f>
        <v>1</v>
      </c>
      <c r="V12" s="7" t="b">
        <f aca="false">TRUE()</f>
        <v>1</v>
      </c>
      <c r="W12" s="8" t="b">
        <f aca="false">TRUE()</f>
        <v>1</v>
      </c>
    </row>
    <row r="13" customFormat="false" ht="15" hidden="false" customHeight="true" outlineLevel="0" collapsed="false">
      <c r="A13" s="6" t="s">
        <v>61</v>
      </c>
      <c r="B13" s="6" t="n">
        <v>2</v>
      </c>
      <c r="C13" s="6" t="s">
        <v>60</v>
      </c>
      <c r="D13" s="6" t="n">
        <v>112.485939257593</v>
      </c>
      <c r="E13" s="6" t="n">
        <v>20.7</v>
      </c>
      <c r="F13" s="6" t="n">
        <v>35.2</v>
      </c>
      <c r="G13" s="6" t="n">
        <v>52.58</v>
      </c>
      <c r="H13" s="6" t="n">
        <v>10224</v>
      </c>
      <c r="I13" s="6" t="n">
        <v>23.4</v>
      </c>
      <c r="J13" s="6" t="n">
        <v>0.0024</v>
      </c>
      <c r="K13" s="6" t="n">
        <v>9.029</v>
      </c>
      <c r="L13" s="6" t="n">
        <v>8.9</v>
      </c>
      <c r="M13" s="6" t="n">
        <v>0.106</v>
      </c>
      <c r="N13" s="6" t="n">
        <v>0.023</v>
      </c>
      <c r="O13" s="6" t="n">
        <v>77.24</v>
      </c>
      <c r="P13" s="6" t="n">
        <v>16921704899.0831</v>
      </c>
      <c r="Q13" s="6" t="n">
        <v>10479.646</v>
      </c>
      <c r="R13" s="6" t="n">
        <v>2.104</v>
      </c>
      <c r="S13" s="6" t="n">
        <v>5.318</v>
      </c>
      <c r="T13" s="7" t="b">
        <f aca="false">TRUE()</f>
        <v>1</v>
      </c>
      <c r="U13" s="7" t="b">
        <f aca="false">TRUE()</f>
        <v>1</v>
      </c>
      <c r="V13" s="7" t="b">
        <f aca="false">TRUE()</f>
        <v>1</v>
      </c>
      <c r="W13" s="8" t="b">
        <f aca="false">TRUE()</f>
        <v>1</v>
      </c>
    </row>
    <row r="14" customFormat="false" ht="15" hidden="false" customHeight="true" outlineLevel="0" collapsed="false">
      <c r="A14" s="6" t="s">
        <v>62</v>
      </c>
      <c r="B14" s="6" t="n">
        <v>0</v>
      </c>
      <c r="C14" s="6" t="s">
        <v>58</v>
      </c>
      <c r="D14" s="6" t="n">
        <v>286.327845382964</v>
      </c>
      <c r="E14" s="6" t="n">
        <v>37.12</v>
      </c>
      <c r="F14" s="6" t="n">
        <v>66.31</v>
      </c>
      <c r="G14" s="6" t="n">
        <v>60</v>
      </c>
      <c r="H14" s="6" t="n">
        <v>10484</v>
      </c>
      <c r="I14" s="6" t="n">
        <v>21.8</v>
      </c>
      <c r="J14" s="6" t="n">
        <v>0.028</v>
      </c>
      <c r="K14" s="6" t="n">
        <v>13.581</v>
      </c>
      <c r="L14" s="6" t="n">
        <v>13.404</v>
      </c>
      <c r="M14" s="6" t="n">
        <v>0.133</v>
      </c>
      <c r="N14" s="6" t="n">
        <v>0.044</v>
      </c>
      <c r="O14" s="6" t="n">
        <v>84.41</v>
      </c>
      <c r="P14" s="6" t="n">
        <v>1632425714.04058</v>
      </c>
      <c r="Q14" s="6" t="n">
        <v>892.289</v>
      </c>
      <c r="R14" s="6" t="n">
        <v>1.399</v>
      </c>
      <c r="S14" s="6" t="n">
        <v>2.823</v>
      </c>
      <c r="T14" s="7" t="b">
        <f aca="false">TRUE()</f>
        <v>1</v>
      </c>
      <c r="U14" s="7" t="b">
        <f aca="false">TRUE()</f>
        <v>1</v>
      </c>
      <c r="V14" s="7" t="b">
        <f aca="false">TRUE()</f>
        <v>1</v>
      </c>
      <c r="W14" s="8" t="b">
        <f aca="false">TRUE()</f>
        <v>1</v>
      </c>
    </row>
    <row r="15" customFormat="false" ht="15" hidden="false" customHeight="true" outlineLevel="0" collapsed="false">
      <c r="A15" s="6" t="s">
        <v>62</v>
      </c>
      <c r="B15" s="6" t="n">
        <v>1</v>
      </c>
      <c r="C15" s="6" t="s">
        <v>58</v>
      </c>
      <c r="D15" s="6" t="n">
        <v>286.327845382964</v>
      </c>
      <c r="E15" s="6" t="n">
        <v>37.12</v>
      </c>
      <c r="F15" s="6" t="n">
        <v>66.31</v>
      </c>
      <c r="G15" s="6" t="n">
        <v>60</v>
      </c>
      <c r="H15" s="6" t="n">
        <v>10484</v>
      </c>
      <c r="I15" s="6" t="n">
        <v>21.8</v>
      </c>
      <c r="J15" s="6" t="n">
        <v>0.028</v>
      </c>
      <c r="K15" s="6" t="n">
        <v>13.581</v>
      </c>
      <c r="L15" s="6" t="n">
        <v>13.404</v>
      </c>
      <c r="M15" s="6" t="n">
        <v>0.133</v>
      </c>
      <c r="N15" s="6" t="n">
        <v>0.044</v>
      </c>
      <c r="O15" s="6" t="n">
        <v>84.41</v>
      </c>
      <c r="P15" s="6" t="n">
        <v>1632425714.04058</v>
      </c>
      <c r="Q15" s="6" t="n">
        <v>892.289</v>
      </c>
      <c r="R15" s="6" t="n">
        <v>1.399</v>
      </c>
      <c r="S15" s="6" t="n">
        <v>2.823</v>
      </c>
      <c r="T15" s="7" t="b">
        <f aca="false">TRUE()</f>
        <v>1</v>
      </c>
      <c r="U15" s="7" t="b">
        <f aca="false">TRUE()</f>
        <v>1</v>
      </c>
      <c r="V15" s="7" t="b">
        <f aca="false">TRUE()</f>
        <v>1</v>
      </c>
      <c r="W15" s="8" t="b">
        <f aca="false">TRUE()</f>
        <v>1</v>
      </c>
    </row>
    <row r="16" customFormat="false" ht="15" hidden="false" customHeight="true" outlineLevel="0" collapsed="false">
      <c r="A16" s="6" t="s">
        <v>62</v>
      </c>
      <c r="B16" s="6" t="n">
        <v>2</v>
      </c>
      <c r="C16" s="6" t="s">
        <v>58</v>
      </c>
      <c r="D16" s="6" t="n">
        <v>286.327845382964</v>
      </c>
      <c r="E16" s="6" t="n">
        <v>37.12</v>
      </c>
      <c r="F16" s="6" t="n">
        <v>66.31</v>
      </c>
      <c r="G16" s="6" t="n">
        <v>60</v>
      </c>
      <c r="H16" s="6" t="n">
        <v>10484</v>
      </c>
      <c r="I16" s="6" t="n">
        <v>21.8</v>
      </c>
      <c r="J16" s="6" t="n">
        <v>0.028</v>
      </c>
      <c r="K16" s="6" t="n">
        <v>13.581</v>
      </c>
      <c r="L16" s="6" t="n">
        <v>13.404</v>
      </c>
      <c r="M16" s="6" t="n">
        <v>0.133</v>
      </c>
      <c r="N16" s="6" t="n">
        <v>0.044</v>
      </c>
      <c r="O16" s="6" t="n">
        <v>84.41</v>
      </c>
      <c r="P16" s="6" t="n">
        <v>1632425714.04058</v>
      </c>
      <c r="Q16" s="6" t="n">
        <v>892.289</v>
      </c>
      <c r="R16" s="6" t="n">
        <v>1.399</v>
      </c>
      <c r="S16" s="6" t="n">
        <v>2.823</v>
      </c>
      <c r="T16" s="7" t="b">
        <f aca="false">TRUE()</f>
        <v>1</v>
      </c>
      <c r="U16" s="7" t="b">
        <f aca="false">TRUE()</f>
        <v>1</v>
      </c>
      <c r="V16" s="7" t="b">
        <f aca="false">TRUE()</f>
        <v>1</v>
      </c>
      <c r="W16" s="8" t="b">
        <f aca="false">TRUE()</f>
        <v>1</v>
      </c>
    </row>
    <row r="17" customFormat="false" ht="15" hidden="false" customHeight="true" outlineLevel="0" collapsed="false">
      <c r="A17" s="6" t="s">
        <v>63</v>
      </c>
      <c r="B17" s="6" t="n">
        <v>0</v>
      </c>
      <c r="C17" s="6" t="s">
        <v>60</v>
      </c>
      <c r="D17" s="6" t="n">
        <v>286.327845382964</v>
      </c>
      <c r="E17" s="6" t="n">
        <v>20.11</v>
      </c>
      <c r="F17" s="6" t="n">
        <v>22.27</v>
      </c>
      <c r="G17" s="6" t="n">
        <v>52.59</v>
      </c>
      <c r="H17" s="6" t="n">
        <v>10220</v>
      </c>
      <c r="I17" s="6" t="n">
        <v>23.5</v>
      </c>
      <c r="J17" s="6" t="n">
        <v>0.0021</v>
      </c>
      <c r="K17" s="6" t="n">
        <v>8.816</v>
      </c>
      <c r="L17" s="6" t="n">
        <v>8.733</v>
      </c>
      <c r="M17" s="6" t="n">
        <v>0.067</v>
      </c>
      <c r="N17" s="6" t="n">
        <v>0.015</v>
      </c>
      <c r="O17" s="6" t="n">
        <v>76.9</v>
      </c>
      <c r="P17" s="6" t="n">
        <v>18978961681.3091</v>
      </c>
      <c r="Q17" s="6" t="n">
        <v>11814.374</v>
      </c>
      <c r="R17" s="6" t="n">
        <v>2.155</v>
      </c>
      <c r="S17" s="6" t="n">
        <v>8.405</v>
      </c>
      <c r="T17" s="7" t="b">
        <f aca="false">TRUE()</f>
        <v>1</v>
      </c>
      <c r="U17" s="7" t="b">
        <f aca="false">TRUE()</f>
        <v>1</v>
      </c>
      <c r="V17" s="7" t="b">
        <f aca="false">TRUE()</f>
        <v>1</v>
      </c>
      <c r="W17" s="8" t="b">
        <f aca="false">TRUE()</f>
        <v>1</v>
      </c>
    </row>
    <row r="18" customFormat="false" ht="15" hidden="false" customHeight="true" outlineLevel="0" collapsed="false">
      <c r="A18" s="6" t="s">
        <v>63</v>
      </c>
      <c r="B18" s="6" t="n">
        <v>1</v>
      </c>
      <c r="C18" s="6" t="s">
        <v>60</v>
      </c>
      <c r="D18" s="6" t="n">
        <v>286.327845382964</v>
      </c>
      <c r="E18" s="6" t="n">
        <v>20.11</v>
      </c>
      <c r="F18" s="6" t="n">
        <v>22.27</v>
      </c>
      <c r="G18" s="6" t="n">
        <v>52.59</v>
      </c>
      <c r="H18" s="6" t="n">
        <v>10220</v>
      </c>
      <c r="I18" s="6" t="n">
        <v>23.5</v>
      </c>
      <c r="J18" s="6" t="n">
        <v>0.0021</v>
      </c>
      <c r="K18" s="6" t="n">
        <v>8.816</v>
      </c>
      <c r="L18" s="6" t="n">
        <v>8.733</v>
      </c>
      <c r="M18" s="6" t="n">
        <v>0.067</v>
      </c>
      <c r="N18" s="6" t="n">
        <v>0.015</v>
      </c>
      <c r="O18" s="6" t="n">
        <v>76.9</v>
      </c>
      <c r="P18" s="6" t="n">
        <v>18978961681.3091</v>
      </c>
      <c r="Q18" s="6" t="n">
        <v>11814.374</v>
      </c>
      <c r="R18" s="6" t="n">
        <v>2.155</v>
      </c>
      <c r="S18" s="6" t="n">
        <v>8.405</v>
      </c>
      <c r="T18" s="7" t="b">
        <f aca="false">TRUE()</f>
        <v>1</v>
      </c>
      <c r="U18" s="7" t="b">
        <f aca="false">TRUE()</f>
        <v>1</v>
      </c>
      <c r="V18" s="7" t="b">
        <f aca="false">TRUE()</f>
        <v>1</v>
      </c>
      <c r="W18" s="8" t="b">
        <f aca="false">TRUE()</f>
        <v>1</v>
      </c>
    </row>
    <row r="19" customFormat="false" ht="15" hidden="false" customHeight="true" outlineLevel="0" collapsed="false">
      <c r="A19" s="6" t="s">
        <v>63</v>
      </c>
      <c r="B19" s="6" t="n">
        <v>2</v>
      </c>
      <c r="C19" s="6" t="s">
        <v>60</v>
      </c>
      <c r="D19" s="6" t="n">
        <v>286.327845382964</v>
      </c>
      <c r="E19" s="6" t="n">
        <v>20.11</v>
      </c>
      <c r="F19" s="6" t="n">
        <v>22.27</v>
      </c>
      <c r="G19" s="6" t="n">
        <v>52.59</v>
      </c>
      <c r="H19" s="6" t="n">
        <v>10220</v>
      </c>
      <c r="I19" s="6" t="n">
        <v>23.5</v>
      </c>
      <c r="J19" s="6" t="n">
        <v>0.0021</v>
      </c>
      <c r="K19" s="6" t="n">
        <v>8.816</v>
      </c>
      <c r="L19" s="6" t="n">
        <v>8.733</v>
      </c>
      <c r="M19" s="6" t="n">
        <v>0.067</v>
      </c>
      <c r="N19" s="6" t="n">
        <v>0.015</v>
      </c>
      <c r="O19" s="6" t="n">
        <v>76.9</v>
      </c>
      <c r="P19" s="6" t="n">
        <v>18978961681.3091</v>
      </c>
      <c r="Q19" s="6" t="n">
        <v>11814.374</v>
      </c>
      <c r="R19" s="6" t="n">
        <v>2.155</v>
      </c>
      <c r="S19" s="6" t="n">
        <v>8.405</v>
      </c>
      <c r="T19" s="7" t="b">
        <f aca="false">TRUE()</f>
        <v>1</v>
      </c>
      <c r="U19" s="7" t="b">
        <f aca="false">TRUE()</f>
        <v>1</v>
      </c>
      <c r="V19" s="7" t="b">
        <f aca="false">TRUE()</f>
        <v>1</v>
      </c>
      <c r="W19" s="8" t="b">
        <f aca="false">TRUE()</f>
        <v>1</v>
      </c>
    </row>
    <row r="20" customFormat="false" ht="15" hidden="false" customHeight="true" outlineLevel="0" collapsed="false">
      <c r="A20" s="6" t="s">
        <v>64</v>
      </c>
      <c r="B20" s="6" t="n">
        <v>0</v>
      </c>
      <c r="C20" s="6" t="s">
        <v>58</v>
      </c>
      <c r="D20" s="6" t="n">
        <v>77.7680567706814</v>
      </c>
      <c r="E20" s="6" t="n">
        <v>36.85</v>
      </c>
      <c r="F20" s="6" t="n">
        <v>59.13</v>
      </c>
      <c r="G20" s="6" t="n">
        <v>59.74</v>
      </c>
      <c r="H20" s="6" t="n">
        <v>10489</v>
      </c>
      <c r="I20" s="6" t="n">
        <v>22.8</v>
      </c>
      <c r="J20" s="6" t="n">
        <v>0.0278</v>
      </c>
      <c r="K20" s="6" t="n">
        <v>11.404</v>
      </c>
      <c r="L20" s="6" t="n">
        <v>11.245</v>
      </c>
      <c r="M20" s="6" t="n">
        <v>0.12</v>
      </c>
      <c r="N20" s="6" t="n">
        <v>0.039</v>
      </c>
      <c r="O20" s="6" t="n">
        <v>80.99</v>
      </c>
      <c r="P20" s="6" t="n">
        <v>1679212353.55691</v>
      </c>
      <c r="Q20" s="6" t="n">
        <v>898.612</v>
      </c>
      <c r="R20" s="6" t="n">
        <v>1.666</v>
      </c>
      <c r="S20" s="6" t="n">
        <v>3.166</v>
      </c>
      <c r="T20" s="7" t="b">
        <f aca="false">TRUE()</f>
        <v>1</v>
      </c>
      <c r="U20" s="7" t="b">
        <f aca="false">TRUE()</f>
        <v>1</v>
      </c>
      <c r="V20" s="7" t="b">
        <f aca="false">TRUE()</f>
        <v>1</v>
      </c>
      <c r="W20" s="8" t="b">
        <f aca="false">TRUE()</f>
        <v>1</v>
      </c>
    </row>
    <row r="21" customFormat="false" ht="15" hidden="false" customHeight="true" outlineLevel="0" collapsed="false">
      <c r="A21" s="6" t="s">
        <v>64</v>
      </c>
      <c r="B21" s="6" t="n">
        <v>1</v>
      </c>
      <c r="C21" s="6" t="s">
        <v>58</v>
      </c>
      <c r="D21" s="6" t="n">
        <v>77.7680567706814</v>
      </c>
      <c r="E21" s="6" t="n">
        <v>36.85</v>
      </c>
      <c r="F21" s="6" t="n">
        <v>59.13</v>
      </c>
      <c r="G21" s="6" t="n">
        <v>59.74</v>
      </c>
      <c r="H21" s="6" t="n">
        <v>10489</v>
      </c>
      <c r="I21" s="6" t="n">
        <v>22.8</v>
      </c>
      <c r="J21" s="6" t="n">
        <v>0.0278</v>
      </c>
      <c r="K21" s="6" t="n">
        <v>11.404</v>
      </c>
      <c r="L21" s="6" t="n">
        <v>11.245</v>
      </c>
      <c r="M21" s="6" t="n">
        <v>0.12</v>
      </c>
      <c r="N21" s="6" t="n">
        <v>0.039</v>
      </c>
      <c r="O21" s="6" t="n">
        <v>80.99</v>
      </c>
      <c r="P21" s="6" t="n">
        <v>1679212353.55691</v>
      </c>
      <c r="Q21" s="6" t="n">
        <v>898.612</v>
      </c>
      <c r="R21" s="6" t="n">
        <v>1.666</v>
      </c>
      <c r="S21" s="6" t="n">
        <v>3.166</v>
      </c>
      <c r="T21" s="7" t="b">
        <f aca="false">TRUE()</f>
        <v>1</v>
      </c>
      <c r="U21" s="7" t="b">
        <f aca="false">TRUE()</f>
        <v>1</v>
      </c>
      <c r="V21" s="7" t="b">
        <f aca="false">TRUE()</f>
        <v>1</v>
      </c>
      <c r="W21" s="8" t="b">
        <f aca="false">TRUE()</f>
        <v>1</v>
      </c>
    </row>
    <row r="22" customFormat="false" ht="15" hidden="false" customHeight="true" outlineLevel="0" collapsed="false">
      <c r="A22" s="6" t="s">
        <v>64</v>
      </c>
      <c r="B22" s="6" t="n">
        <v>2</v>
      </c>
      <c r="C22" s="6" t="s">
        <v>58</v>
      </c>
      <c r="D22" s="6" t="n">
        <v>77.7680567706814</v>
      </c>
      <c r="E22" s="6" t="n">
        <v>36.85</v>
      </c>
      <c r="F22" s="6" t="n">
        <v>59.13</v>
      </c>
      <c r="G22" s="6" t="n">
        <v>59.74</v>
      </c>
      <c r="H22" s="6" t="n">
        <v>10489</v>
      </c>
      <c r="I22" s="6" t="n">
        <v>22.8</v>
      </c>
      <c r="J22" s="6" t="n">
        <v>0.0278</v>
      </c>
      <c r="K22" s="6" t="n">
        <v>11.404</v>
      </c>
      <c r="L22" s="6" t="n">
        <v>11.245</v>
      </c>
      <c r="M22" s="6" t="n">
        <v>0.12</v>
      </c>
      <c r="N22" s="6" t="n">
        <v>0.039</v>
      </c>
      <c r="O22" s="6" t="n">
        <v>80.99</v>
      </c>
      <c r="P22" s="6" t="n">
        <v>1679212353.55691</v>
      </c>
      <c r="Q22" s="6" t="n">
        <v>898.612</v>
      </c>
      <c r="R22" s="6" t="n">
        <v>1.666</v>
      </c>
      <c r="S22" s="6" t="n">
        <v>3.166</v>
      </c>
      <c r="T22" s="7" t="b">
        <f aca="false">TRUE()</f>
        <v>1</v>
      </c>
      <c r="U22" s="7" t="b">
        <f aca="false">TRUE()</f>
        <v>1</v>
      </c>
      <c r="V22" s="7" t="b">
        <f aca="false">TRUE()</f>
        <v>1</v>
      </c>
      <c r="W22" s="8" t="b">
        <f aca="false">TRUE()</f>
        <v>1</v>
      </c>
    </row>
    <row r="23" customFormat="false" ht="15" hidden="false" customHeight="true" outlineLevel="0" collapsed="false">
      <c r="A23" s="6" t="s">
        <v>65</v>
      </c>
      <c r="B23" s="6" t="n">
        <v>0</v>
      </c>
      <c r="C23" s="6" t="s">
        <v>58</v>
      </c>
      <c r="D23" s="6" t="n">
        <v>86.2905835400712</v>
      </c>
      <c r="E23" s="6" t="n">
        <v>36.65</v>
      </c>
      <c r="F23" s="6" t="n">
        <v>58.93</v>
      </c>
      <c r="G23" s="6" t="n">
        <v>59.75</v>
      </c>
      <c r="H23" s="6" t="n">
        <v>10491</v>
      </c>
      <c r="I23" s="6" t="n">
        <v>22.8</v>
      </c>
      <c r="J23" s="6" t="n">
        <v>0.0272</v>
      </c>
      <c r="K23" s="6" t="n">
        <v>11.386</v>
      </c>
      <c r="L23" s="6" t="n">
        <v>11.228</v>
      </c>
      <c r="M23" s="6" t="n">
        <v>0.119</v>
      </c>
      <c r="N23" s="6" t="n">
        <v>0.039</v>
      </c>
      <c r="O23" s="6" t="n">
        <v>80.96</v>
      </c>
      <c r="P23" s="6" t="n">
        <v>1715300986.74004</v>
      </c>
      <c r="Q23" s="6" t="n">
        <v>919.1</v>
      </c>
      <c r="R23" s="6" t="n">
        <v>1.669</v>
      </c>
      <c r="S23" s="6" t="n">
        <v>3.176</v>
      </c>
      <c r="T23" s="7" t="b">
        <f aca="false">TRUE()</f>
        <v>1</v>
      </c>
      <c r="U23" s="7" t="b">
        <f aca="false">TRUE()</f>
        <v>1</v>
      </c>
      <c r="V23" s="7" t="b">
        <f aca="false">TRUE()</f>
        <v>1</v>
      </c>
      <c r="W23" s="8" t="b">
        <f aca="false">TRUE()</f>
        <v>1</v>
      </c>
    </row>
    <row r="24" customFormat="false" ht="15" hidden="false" customHeight="true" outlineLevel="0" collapsed="false">
      <c r="A24" s="6" t="s">
        <v>65</v>
      </c>
      <c r="B24" s="6" t="n">
        <v>1</v>
      </c>
      <c r="C24" s="6" t="s">
        <v>58</v>
      </c>
      <c r="D24" s="6" t="n">
        <v>86.2905835400712</v>
      </c>
      <c r="E24" s="6" t="n">
        <v>36.65</v>
      </c>
      <c r="F24" s="6" t="n">
        <v>58.93</v>
      </c>
      <c r="G24" s="6" t="n">
        <v>59.75</v>
      </c>
      <c r="H24" s="6" t="n">
        <v>10491</v>
      </c>
      <c r="I24" s="6" t="n">
        <v>22.8</v>
      </c>
      <c r="J24" s="6" t="n">
        <v>0.0272</v>
      </c>
      <c r="K24" s="6" t="n">
        <v>11.386</v>
      </c>
      <c r="L24" s="6" t="n">
        <v>11.228</v>
      </c>
      <c r="M24" s="6" t="n">
        <v>0.119</v>
      </c>
      <c r="N24" s="6" t="n">
        <v>0.039</v>
      </c>
      <c r="O24" s="6" t="n">
        <v>80.96</v>
      </c>
      <c r="P24" s="6" t="n">
        <v>1715300986.74004</v>
      </c>
      <c r="Q24" s="6" t="n">
        <v>919.1</v>
      </c>
      <c r="R24" s="6" t="n">
        <v>1.669</v>
      </c>
      <c r="S24" s="6" t="n">
        <v>3.176</v>
      </c>
      <c r="T24" s="7" t="b">
        <f aca="false">TRUE()</f>
        <v>1</v>
      </c>
      <c r="U24" s="7" t="b">
        <f aca="false">TRUE()</f>
        <v>1</v>
      </c>
      <c r="V24" s="7" t="b">
        <f aca="false">TRUE()</f>
        <v>1</v>
      </c>
      <c r="W24" s="8" t="b">
        <f aca="false">TRUE()</f>
        <v>1</v>
      </c>
    </row>
    <row r="25" customFormat="false" ht="15" hidden="false" customHeight="true" outlineLevel="0" collapsed="false">
      <c r="A25" s="6" t="s">
        <v>65</v>
      </c>
      <c r="B25" s="6" t="n">
        <v>2</v>
      </c>
      <c r="C25" s="6" t="s">
        <v>58</v>
      </c>
      <c r="D25" s="6" t="n">
        <v>86.2905835400712</v>
      </c>
      <c r="E25" s="6" t="n">
        <v>36.65</v>
      </c>
      <c r="F25" s="6" t="n">
        <v>58.93</v>
      </c>
      <c r="G25" s="6" t="n">
        <v>59.75</v>
      </c>
      <c r="H25" s="6" t="n">
        <v>10491</v>
      </c>
      <c r="I25" s="6" t="n">
        <v>22.8</v>
      </c>
      <c r="J25" s="6" t="n">
        <v>0.0272</v>
      </c>
      <c r="K25" s="6" t="n">
        <v>11.386</v>
      </c>
      <c r="L25" s="6" t="n">
        <v>11.228</v>
      </c>
      <c r="M25" s="6" t="n">
        <v>0.119</v>
      </c>
      <c r="N25" s="6" t="n">
        <v>0.039</v>
      </c>
      <c r="O25" s="6" t="n">
        <v>80.96</v>
      </c>
      <c r="P25" s="6" t="n">
        <v>1715300986.74004</v>
      </c>
      <c r="Q25" s="6" t="n">
        <v>919.1</v>
      </c>
      <c r="R25" s="6" t="n">
        <v>1.669</v>
      </c>
      <c r="S25" s="6" t="n">
        <v>3.176</v>
      </c>
      <c r="T25" s="7" t="b">
        <f aca="false">TRUE()</f>
        <v>1</v>
      </c>
      <c r="U25" s="7" t="b">
        <f aca="false">TRUE()</f>
        <v>1</v>
      </c>
      <c r="V25" s="7" t="b">
        <f aca="false">TRUE()</f>
        <v>1</v>
      </c>
      <c r="W25" s="8" t="b">
        <f aca="false">TRUE()</f>
        <v>1</v>
      </c>
    </row>
    <row r="26" customFormat="false" ht="15" hidden="false" customHeight="true" outlineLevel="0" collapsed="false">
      <c r="A26" s="6" t="s">
        <v>66</v>
      </c>
      <c r="B26" s="6" t="n">
        <v>0</v>
      </c>
      <c r="C26" s="6" t="s">
        <v>60</v>
      </c>
      <c r="D26" s="6" t="n">
        <v>131.233595800525</v>
      </c>
      <c r="E26" s="6" t="n">
        <v>20.59</v>
      </c>
      <c r="F26" s="6" t="n">
        <v>32.77</v>
      </c>
      <c r="G26" s="6" t="n">
        <v>52.53</v>
      </c>
      <c r="H26" s="6" t="n">
        <v>10221</v>
      </c>
      <c r="I26" s="6" t="n">
        <v>23.5</v>
      </c>
      <c r="J26" s="6" t="n">
        <v>0.0023</v>
      </c>
      <c r="K26" s="6" t="n">
        <v>8.92</v>
      </c>
      <c r="L26" s="6" t="n">
        <v>8.799</v>
      </c>
      <c r="M26" s="6" t="n">
        <v>0.099</v>
      </c>
      <c r="N26" s="6" t="n">
        <v>0.022</v>
      </c>
      <c r="O26" s="6" t="n">
        <v>77.06</v>
      </c>
      <c r="P26" s="6" t="n">
        <v>17289875313.2792</v>
      </c>
      <c r="Q26" s="6" t="n">
        <v>10707.63</v>
      </c>
      <c r="R26" s="6" t="n">
        <v>2.13</v>
      </c>
      <c r="S26" s="6" t="n">
        <v>5.712</v>
      </c>
      <c r="T26" s="7" t="b">
        <f aca="false">TRUE()</f>
        <v>1</v>
      </c>
      <c r="U26" s="7" t="b">
        <f aca="false">TRUE()</f>
        <v>1</v>
      </c>
      <c r="V26" s="7" t="b">
        <f aca="false">TRUE()</f>
        <v>1</v>
      </c>
      <c r="W26" s="8" t="b">
        <f aca="false">TRUE()</f>
        <v>1</v>
      </c>
    </row>
    <row r="27" customFormat="false" ht="15" hidden="false" customHeight="true" outlineLevel="0" collapsed="false">
      <c r="A27" s="6" t="s">
        <v>66</v>
      </c>
      <c r="B27" s="6" t="n">
        <v>1</v>
      </c>
      <c r="C27" s="6" t="s">
        <v>60</v>
      </c>
      <c r="D27" s="6" t="n">
        <v>131.233595800525</v>
      </c>
      <c r="E27" s="6" t="n">
        <v>20.59</v>
      </c>
      <c r="F27" s="6" t="n">
        <v>32.77</v>
      </c>
      <c r="G27" s="6" t="n">
        <v>52.53</v>
      </c>
      <c r="H27" s="6" t="n">
        <v>10221</v>
      </c>
      <c r="I27" s="6" t="n">
        <v>23.5</v>
      </c>
      <c r="J27" s="6" t="n">
        <v>0.0023</v>
      </c>
      <c r="K27" s="6" t="n">
        <v>8.92</v>
      </c>
      <c r="L27" s="6" t="n">
        <v>8.799</v>
      </c>
      <c r="M27" s="6" t="n">
        <v>0.099</v>
      </c>
      <c r="N27" s="6" t="n">
        <v>0.022</v>
      </c>
      <c r="O27" s="6" t="n">
        <v>77.06</v>
      </c>
      <c r="P27" s="6" t="n">
        <v>17289875313.2792</v>
      </c>
      <c r="Q27" s="6" t="n">
        <v>10707.63</v>
      </c>
      <c r="R27" s="6" t="n">
        <v>2.13</v>
      </c>
      <c r="S27" s="6" t="n">
        <v>5.712</v>
      </c>
      <c r="T27" s="7" t="b">
        <f aca="false">TRUE()</f>
        <v>1</v>
      </c>
      <c r="U27" s="7" t="b">
        <f aca="false">TRUE()</f>
        <v>1</v>
      </c>
      <c r="V27" s="7" t="b">
        <f aca="false">TRUE()</f>
        <v>1</v>
      </c>
      <c r="W27" s="8" t="b">
        <f aca="false">TRUE()</f>
        <v>1</v>
      </c>
    </row>
    <row r="28" customFormat="false" ht="15" hidden="false" customHeight="true" outlineLevel="0" collapsed="false">
      <c r="A28" s="6" t="s">
        <v>66</v>
      </c>
      <c r="B28" s="6" t="n">
        <v>2</v>
      </c>
      <c r="C28" s="6" t="s">
        <v>60</v>
      </c>
      <c r="D28" s="6" t="n">
        <v>131.233595800525</v>
      </c>
      <c r="E28" s="6" t="n">
        <v>20.59</v>
      </c>
      <c r="F28" s="6" t="n">
        <v>32.77</v>
      </c>
      <c r="G28" s="6" t="n">
        <v>52.53</v>
      </c>
      <c r="H28" s="6" t="n">
        <v>10221</v>
      </c>
      <c r="I28" s="6" t="n">
        <v>23.5</v>
      </c>
      <c r="J28" s="6" t="n">
        <v>0.0023</v>
      </c>
      <c r="K28" s="6" t="n">
        <v>8.92</v>
      </c>
      <c r="L28" s="6" t="n">
        <v>8.799</v>
      </c>
      <c r="M28" s="6" t="n">
        <v>0.099</v>
      </c>
      <c r="N28" s="6" t="n">
        <v>0.022</v>
      </c>
      <c r="O28" s="6" t="n">
        <v>77.06</v>
      </c>
      <c r="P28" s="6" t="n">
        <v>17289875313.2792</v>
      </c>
      <c r="Q28" s="6" t="n">
        <v>10707.63</v>
      </c>
      <c r="R28" s="6" t="n">
        <v>2.13</v>
      </c>
      <c r="S28" s="6" t="n">
        <v>5.712</v>
      </c>
      <c r="T28" s="7" t="b">
        <f aca="false">TRUE()</f>
        <v>1</v>
      </c>
      <c r="U28" s="7" t="b">
        <f aca="false">TRUE()</f>
        <v>1</v>
      </c>
      <c r="V28" s="7" t="b">
        <f aca="false">TRUE()</f>
        <v>1</v>
      </c>
      <c r="W28" s="8" t="b">
        <f aca="false">TRUE()</f>
        <v>1</v>
      </c>
    </row>
    <row r="29" customFormat="false" ht="15" hidden="false" customHeight="true" outlineLevel="0" collapsed="false">
      <c r="A29" s="6" t="s">
        <v>67</v>
      </c>
      <c r="B29" s="6" t="n">
        <v>0</v>
      </c>
      <c r="C29" s="6" t="s">
        <v>60</v>
      </c>
      <c r="D29" s="6" t="n">
        <v>58.8711457796747</v>
      </c>
      <c r="E29" s="6" t="n">
        <v>20.91</v>
      </c>
      <c r="F29" s="6" t="n">
        <v>45.27</v>
      </c>
      <c r="G29" s="6" t="n">
        <v>52.4</v>
      </c>
      <c r="H29" s="6" t="n">
        <v>10221</v>
      </c>
      <c r="I29" s="6" t="n">
        <v>23.6</v>
      </c>
      <c r="J29" s="6" t="n">
        <v>0.0025</v>
      </c>
      <c r="K29" s="6" t="n">
        <v>8.839</v>
      </c>
      <c r="L29" s="6" t="n">
        <v>8.672</v>
      </c>
      <c r="M29" s="6" t="n">
        <v>0.137</v>
      </c>
      <c r="N29" s="6" t="n">
        <v>0.03</v>
      </c>
      <c r="O29" s="6" t="n">
        <v>76.94</v>
      </c>
      <c r="P29" s="6" t="n">
        <v>16267595857.963</v>
      </c>
      <c r="Q29" s="6" t="n">
        <v>10015.523</v>
      </c>
      <c r="R29" s="6" t="n">
        <v>2.15</v>
      </c>
      <c r="S29" s="6" t="n">
        <v>4.135</v>
      </c>
      <c r="T29" s="7" t="b">
        <f aca="false">TRUE()</f>
        <v>1</v>
      </c>
      <c r="U29" s="7" t="b">
        <f aca="false">TRUE()</f>
        <v>1</v>
      </c>
      <c r="V29" s="7" t="b">
        <f aca="false">TRUE()</f>
        <v>1</v>
      </c>
      <c r="W29" s="8" t="b">
        <f aca="false">TRUE()</f>
        <v>1</v>
      </c>
    </row>
    <row r="30" customFormat="false" ht="15" hidden="false" customHeight="true" outlineLevel="0" collapsed="false">
      <c r="A30" s="6" t="s">
        <v>67</v>
      </c>
      <c r="B30" s="6" t="n">
        <v>1</v>
      </c>
      <c r="C30" s="6" t="s">
        <v>60</v>
      </c>
      <c r="D30" s="6" t="n">
        <v>58.8711457796747</v>
      </c>
      <c r="E30" s="6" t="n">
        <v>20.91</v>
      </c>
      <c r="F30" s="6" t="n">
        <v>45.27</v>
      </c>
      <c r="G30" s="6" t="n">
        <v>52.4</v>
      </c>
      <c r="H30" s="6" t="n">
        <v>10221</v>
      </c>
      <c r="I30" s="6" t="n">
        <v>23.6</v>
      </c>
      <c r="J30" s="6" t="n">
        <v>0.0025</v>
      </c>
      <c r="K30" s="6" t="n">
        <v>8.839</v>
      </c>
      <c r="L30" s="6" t="n">
        <v>8.672</v>
      </c>
      <c r="M30" s="6" t="n">
        <v>0.137</v>
      </c>
      <c r="N30" s="6" t="n">
        <v>0.03</v>
      </c>
      <c r="O30" s="6" t="n">
        <v>76.94</v>
      </c>
      <c r="P30" s="6" t="n">
        <v>16267595857.963</v>
      </c>
      <c r="Q30" s="6" t="n">
        <v>10015.523</v>
      </c>
      <c r="R30" s="6" t="n">
        <v>2.15</v>
      </c>
      <c r="S30" s="6" t="n">
        <v>4.135</v>
      </c>
      <c r="T30" s="7" t="b">
        <f aca="false">TRUE()</f>
        <v>1</v>
      </c>
      <c r="U30" s="7" t="b">
        <f aca="false">TRUE()</f>
        <v>1</v>
      </c>
      <c r="V30" s="7" t="b">
        <f aca="false">TRUE()</f>
        <v>1</v>
      </c>
      <c r="W30" s="8" t="b">
        <f aca="false">TRUE()</f>
        <v>1</v>
      </c>
    </row>
    <row r="31" customFormat="false" ht="15" hidden="false" customHeight="true" outlineLevel="0" collapsed="false">
      <c r="A31" s="6" t="s">
        <v>67</v>
      </c>
      <c r="B31" s="6" t="n">
        <v>2</v>
      </c>
      <c r="C31" s="6" t="s">
        <v>60</v>
      </c>
      <c r="D31" s="6" t="n">
        <v>58.8711457796747</v>
      </c>
      <c r="E31" s="6" t="n">
        <v>20.91</v>
      </c>
      <c r="F31" s="6" t="n">
        <v>45.27</v>
      </c>
      <c r="G31" s="6" t="n">
        <v>52.4</v>
      </c>
      <c r="H31" s="6" t="n">
        <v>10221</v>
      </c>
      <c r="I31" s="6" t="n">
        <v>23.6</v>
      </c>
      <c r="J31" s="6" t="n">
        <v>0.0025</v>
      </c>
      <c r="K31" s="6" t="n">
        <v>8.839</v>
      </c>
      <c r="L31" s="6" t="n">
        <v>8.672</v>
      </c>
      <c r="M31" s="6" t="n">
        <v>0.137</v>
      </c>
      <c r="N31" s="6" t="n">
        <v>0.03</v>
      </c>
      <c r="O31" s="6" t="n">
        <v>76.94</v>
      </c>
      <c r="P31" s="6" t="n">
        <v>16267595857.963</v>
      </c>
      <c r="Q31" s="6" t="n">
        <v>10015.523</v>
      </c>
      <c r="R31" s="6" t="n">
        <v>2.15</v>
      </c>
      <c r="S31" s="6" t="n">
        <v>4.135</v>
      </c>
      <c r="T31" s="7" t="b">
        <f aca="false">TRUE()</f>
        <v>1</v>
      </c>
      <c r="U31" s="7" t="b">
        <f aca="false">TRUE()</f>
        <v>1</v>
      </c>
      <c r="V31" s="7" t="b">
        <f aca="false">TRUE()</f>
        <v>1</v>
      </c>
      <c r="W31" s="8" t="b">
        <f aca="false">TRUE()</f>
        <v>1</v>
      </c>
    </row>
    <row r="32" customFormat="false" ht="15" hidden="false" customHeight="true" outlineLevel="0" collapsed="false">
      <c r="A32" s="6" t="s">
        <v>68</v>
      </c>
      <c r="B32" s="6" t="n">
        <v>0</v>
      </c>
      <c r="C32" s="6" t="s">
        <v>58</v>
      </c>
      <c r="D32" s="6" t="n">
        <v>699.912510936133</v>
      </c>
      <c r="E32" s="6" t="n">
        <v>30.03</v>
      </c>
      <c r="F32" s="6" t="n">
        <v>60.87</v>
      </c>
      <c r="G32" s="6" t="n">
        <v>62.31</v>
      </c>
      <c r="H32" s="6" t="n">
        <v>10483</v>
      </c>
      <c r="I32" s="6" t="n">
        <v>24.3</v>
      </c>
      <c r="J32" s="6" t="n">
        <v>0.0121</v>
      </c>
      <c r="K32" s="6" t="n">
        <v>9.182</v>
      </c>
      <c r="L32" s="6" t="n">
        <v>9.019</v>
      </c>
      <c r="M32" s="6" t="n">
        <v>0.122</v>
      </c>
      <c r="N32" s="6" t="n">
        <v>0.041</v>
      </c>
      <c r="O32" s="6" t="n">
        <v>77.48</v>
      </c>
      <c r="P32" s="6" t="n">
        <v>3770716877.82852</v>
      </c>
      <c r="Q32" s="6" t="n">
        <v>2070.064</v>
      </c>
      <c r="R32" s="6" t="n">
        <v>2.069</v>
      </c>
      <c r="S32" s="6" t="n">
        <v>3.075</v>
      </c>
      <c r="T32" s="7" t="b">
        <f aca="false">TRUE()</f>
        <v>1</v>
      </c>
      <c r="U32" s="7" t="b">
        <f aca="false">TRUE()</f>
        <v>1</v>
      </c>
      <c r="V32" s="7" t="b">
        <f aca="false">TRUE()</f>
        <v>1</v>
      </c>
      <c r="W32" s="8" t="b">
        <f aca="false">TRUE()</f>
        <v>1</v>
      </c>
    </row>
    <row r="33" customFormat="false" ht="15" hidden="false" customHeight="true" outlineLevel="0" collapsed="false">
      <c r="A33" s="6" t="s">
        <v>68</v>
      </c>
      <c r="B33" s="6" t="n">
        <v>1</v>
      </c>
      <c r="C33" s="6" t="s">
        <v>58</v>
      </c>
      <c r="D33" s="6" t="n">
        <v>699.912510936133</v>
      </c>
      <c r="E33" s="6" t="n">
        <v>30.03</v>
      </c>
      <c r="F33" s="6" t="n">
        <v>60.87</v>
      </c>
      <c r="G33" s="6" t="n">
        <v>62.31</v>
      </c>
      <c r="H33" s="6" t="n">
        <v>10483</v>
      </c>
      <c r="I33" s="6" t="n">
        <v>24.3</v>
      </c>
      <c r="J33" s="6" t="n">
        <v>0.0121</v>
      </c>
      <c r="K33" s="6" t="n">
        <v>9.182</v>
      </c>
      <c r="L33" s="6" t="n">
        <v>9.019</v>
      </c>
      <c r="M33" s="6" t="n">
        <v>0.122</v>
      </c>
      <c r="N33" s="6" t="n">
        <v>0.041</v>
      </c>
      <c r="O33" s="6" t="n">
        <v>77.48</v>
      </c>
      <c r="P33" s="6" t="n">
        <v>3770716877.82852</v>
      </c>
      <c r="Q33" s="6" t="n">
        <v>2070.064</v>
      </c>
      <c r="R33" s="6" t="n">
        <v>2.069</v>
      </c>
      <c r="S33" s="6" t="n">
        <v>3.075</v>
      </c>
      <c r="T33" s="7" t="b">
        <f aca="false">TRUE()</f>
        <v>1</v>
      </c>
      <c r="U33" s="7" t="b">
        <f aca="false">TRUE()</f>
        <v>1</v>
      </c>
      <c r="V33" s="7" t="b">
        <f aca="false">TRUE()</f>
        <v>1</v>
      </c>
      <c r="W33" s="8" t="b">
        <f aca="false">TRUE()</f>
        <v>1</v>
      </c>
    </row>
    <row r="34" customFormat="false" ht="15" hidden="false" customHeight="true" outlineLevel="0" collapsed="false">
      <c r="A34" s="6" t="s">
        <v>68</v>
      </c>
      <c r="B34" s="6" t="n">
        <v>2</v>
      </c>
      <c r="C34" s="6" t="s">
        <v>58</v>
      </c>
      <c r="D34" s="6" t="n">
        <v>699.912510936133</v>
      </c>
      <c r="E34" s="6" t="n">
        <v>30.03</v>
      </c>
      <c r="F34" s="6" t="n">
        <v>60.87</v>
      </c>
      <c r="G34" s="6" t="n">
        <v>62.31</v>
      </c>
      <c r="H34" s="6" t="n">
        <v>10483</v>
      </c>
      <c r="I34" s="6" t="n">
        <v>24.3</v>
      </c>
      <c r="J34" s="6" t="n">
        <v>0.0121</v>
      </c>
      <c r="K34" s="6" t="n">
        <v>9.182</v>
      </c>
      <c r="L34" s="6" t="n">
        <v>9.019</v>
      </c>
      <c r="M34" s="6" t="n">
        <v>0.122</v>
      </c>
      <c r="N34" s="6" t="n">
        <v>0.041</v>
      </c>
      <c r="O34" s="6" t="n">
        <v>77.48</v>
      </c>
      <c r="P34" s="6" t="n">
        <v>3770716877.82852</v>
      </c>
      <c r="Q34" s="6" t="n">
        <v>2070.064</v>
      </c>
      <c r="R34" s="6" t="n">
        <v>2.069</v>
      </c>
      <c r="S34" s="6" t="n">
        <v>3.075</v>
      </c>
      <c r="T34" s="7" t="b">
        <f aca="false">TRUE()</f>
        <v>1</v>
      </c>
      <c r="U34" s="7" t="b">
        <f aca="false">TRUE()</f>
        <v>1</v>
      </c>
      <c r="V34" s="7" t="b">
        <f aca="false">TRUE()</f>
        <v>1</v>
      </c>
      <c r="W34" s="8" t="b">
        <f aca="false">TRUE()</f>
        <v>1</v>
      </c>
    </row>
    <row r="35" customFormat="false" ht="15" hidden="false" customHeight="true" outlineLevel="0" collapsed="false">
      <c r="A35" s="6" t="s">
        <v>69</v>
      </c>
      <c r="B35" s="6" t="n">
        <v>0</v>
      </c>
      <c r="C35" s="6" t="s">
        <v>58</v>
      </c>
      <c r="D35" s="6" t="n">
        <v>114.531138153185</v>
      </c>
      <c r="E35" s="6" t="n">
        <v>36.46</v>
      </c>
      <c r="F35" s="6" t="n">
        <v>60.01</v>
      </c>
      <c r="G35" s="6" t="n">
        <v>59.81</v>
      </c>
      <c r="H35" s="6" t="n">
        <v>10485</v>
      </c>
      <c r="I35" s="6" t="n">
        <v>22.6</v>
      </c>
      <c r="J35" s="6" t="n">
        <v>0.0265</v>
      </c>
      <c r="K35" s="6" t="n">
        <v>11.845</v>
      </c>
      <c r="L35" s="6" t="n">
        <v>11.684</v>
      </c>
      <c r="M35" s="6" t="n">
        <v>0.121</v>
      </c>
      <c r="N35" s="6" t="n">
        <v>0.04</v>
      </c>
      <c r="O35" s="6" t="n">
        <v>81.68</v>
      </c>
      <c r="P35" s="6" t="n">
        <v>1752073092.91843</v>
      </c>
      <c r="Q35" s="6" t="n">
        <v>944.813</v>
      </c>
      <c r="R35" s="6" t="n">
        <v>1.604</v>
      </c>
      <c r="S35" s="6" t="n">
        <v>3.119</v>
      </c>
      <c r="T35" s="7" t="b">
        <f aca="false">TRUE()</f>
        <v>1</v>
      </c>
      <c r="U35" s="7" t="b">
        <f aca="false">TRUE()</f>
        <v>1</v>
      </c>
      <c r="V35" s="7" t="b">
        <f aca="false">TRUE()</f>
        <v>1</v>
      </c>
      <c r="W35" s="8" t="b">
        <f aca="false">TRUE()</f>
        <v>1</v>
      </c>
    </row>
    <row r="36" customFormat="false" ht="15" hidden="false" customHeight="true" outlineLevel="0" collapsed="false">
      <c r="A36" s="6" t="s">
        <v>69</v>
      </c>
      <c r="B36" s="6" t="n">
        <v>1</v>
      </c>
      <c r="C36" s="6" t="s">
        <v>58</v>
      </c>
      <c r="D36" s="6" t="n">
        <v>114.531138153185</v>
      </c>
      <c r="E36" s="6" t="n">
        <v>36.46</v>
      </c>
      <c r="F36" s="6" t="n">
        <v>60.01</v>
      </c>
      <c r="G36" s="6" t="n">
        <v>59.81</v>
      </c>
      <c r="H36" s="6" t="n">
        <v>10485</v>
      </c>
      <c r="I36" s="6" t="n">
        <v>22.6</v>
      </c>
      <c r="J36" s="6" t="n">
        <v>0.0265</v>
      </c>
      <c r="K36" s="6" t="n">
        <v>11.845</v>
      </c>
      <c r="L36" s="6" t="n">
        <v>11.684</v>
      </c>
      <c r="M36" s="6" t="n">
        <v>0.121</v>
      </c>
      <c r="N36" s="6" t="n">
        <v>0.04</v>
      </c>
      <c r="O36" s="6" t="n">
        <v>81.68</v>
      </c>
      <c r="P36" s="6" t="n">
        <v>1752073092.91843</v>
      </c>
      <c r="Q36" s="6" t="n">
        <v>944.813</v>
      </c>
      <c r="R36" s="6" t="n">
        <v>1.604</v>
      </c>
      <c r="S36" s="6" t="n">
        <v>3.119</v>
      </c>
      <c r="T36" s="7" t="b">
        <f aca="false">TRUE()</f>
        <v>1</v>
      </c>
      <c r="U36" s="7" t="b">
        <f aca="false">TRUE()</f>
        <v>1</v>
      </c>
      <c r="V36" s="7" t="b">
        <f aca="false">TRUE()</f>
        <v>1</v>
      </c>
      <c r="W36" s="8" t="b">
        <f aca="false">TRUE()</f>
        <v>1</v>
      </c>
    </row>
    <row r="37" customFormat="false" ht="15" hidden="false" customHeight="true" outlineLevel="0" collapsed="false">
      <c r="A37" s="6" t="s">
        <v>69</v>
      </c>
      <c r="B37" s="6" t="n">
        <v>2</v>
      </c>
      <c r="C37" s="6" t="s">
        <v>58</v>
      </c>
      <c r="D37" s="6" t="n">
        <v>114.531138153185</v>
      </c>
      <c r="E37" s="6" t="n">
        <v>36.46</v>
      </c>
      <c r="F37" s="6" t="n">
        <v>60.01</v>
      </c>
      <c r="G37" s="6" t="n">
        <v>59.81</v>
      </c>
      <c r="H37" s="6" t="n">
        <v>10485</v>
      </c>
      <c r="I37" s="6" t="n">
        <v>22.6</v>
      </c>
      <c r="J37" s="6" t="n">
        <v>0.0265</v>
      </c>
      <c r="K37" s="6" t="n">
        <v>11.845</v>
      </c>
      <c r="L37" s="6" t="n">
        <v>11.684</v>
      </c>
      <c r="M37" s="6" t="n">
        <v>0.121</v>
      </c>
      <c r="N37" s="6" t="n">
        <v>0.04</v>
      </c>
      <c r="O37" s="6" t="n">
        <v>81.68</v>
      </c>
      <c r="P37" s="6" t="n">
        <v>1752073092.91843</v>
      </c>
      <c r="Q37" s="6" t="n">
        <v>944.813</v>
      </c>
      <c r="R37" s="6" t="n">
        <v>1.604</v>
      </c>
      <c r="S37" s="6" t="n">
        <v>3.119</v>
      </c>
      <c r="T37" s="7" t="b">
        <f aca="false">TRUE()</f>
        <v>1</v>
      </c>
      <c r="U37" s="7" t="b">
        <f aca="false">TRUE()</f>
        <v>1</v>
      </c>
      <c r="V37" s="7" t="b">
        <f aca="false">TRUE()</f>
        <v>1</v>
      </c>
      <c r="W37" s="8" t="b">
        <f aca="false">TRUE()</f>
        <v>1</v>
      </c>
    </row>
    <row r="38" customFormat="false" ht="15" hidden="false" customHeight="true" outlineLevel="0" collapsed="false">
      <c r="A38" s="6" t="s">
        <v>70</v>
      </c>
      <c r="B38" s="6" t="n">
        <v>0</v>
      </c>
      <c r="C38" s="6" t="s">
        <v>60</v>
      </c>
      <c r="D38" s="6" t="n">
        <v>99.9875015623047</v>
      </c>
      <c r="E38" s="6" t="n">
        <v>20.8</v>
      </c>
      <c r="F38" s="6" t="n">
        <v>37.1</v>
      </c>
      <c r="G38" s="6" t="n">
        <v>52.62</v>
      </c>
      <c r="H38" s="6" t="n">
        <v>10227</v>
      </c>
      <c r="I38" s="6" t="n">
        <v>23.4</v>
      </c>
      <c r="J38" s="6" t="n">
        <v>0.0024</v>
      </c>
      <c r="K38" s="6" t="n">
        <v>9.121</v>
      </c>
      <c r="L38" s="6" t="n">
        <v>8.985</v>
      </c>
      <c r="M38" s="6" t="n">
        <v>0.112</v>
      </c>
      <c r="N38" s="6" t="n">
        <v>0.025</v>
      </c>
      <c r="O38" s="6" t="n">
        <v>77.38</v>
      </c>
      <c r="P38" s="6" t="n">
        <v>16597022178.8939</v>
      </c>
      <c r="Q38" s="6" t="n">
        <v>10277.627</v>
      </c>
      <c r="R38" s="6" t="n">
        <v>2.083</v>
      </c>
      <c r="S38" s="6" t="n">
        <v>5.045</v>
      </c>
      <c r="T38" s="7" t="b">
        <f aca="false">TRUE()</f>
        <v>1</v>
      </c>
      <c r="U38" s="7" t="b">
        <f aca="false">TRUE()</f>
        <v>1</v>
      </c>
      <c r="V38" s="7" t="b">
        <f aca="false">TRUE()</f>
        <v>1</v>
      </c>
      <c r="W38" s="8" t="b">
        <f aca="false">TRUE()</f>
        <v>1</v>
      </c>
    </row>
    <row r="39" customFormat="false" ht="15" hidden="false" customHeight="true" outlineLevel="0" collapsed="false">
      <c r="A39" s="6" t="s">
        <v>70</v>
      </c>
      <c r="B39" s="6" t="n">
        <v>1</v>
      </c>
      <c r="C39" s="6" t="s">
        <v>60</v>
      </c>
      <c r="D39" s="6" t="n">
        <v>99.9875015623047</v>
      </c>
      <c r="E39" s="6" t="n">
        <v>20.8</v>
      </c>
      <c r="F39" s="6" t="n">
        <v>37.1</v>
      </c>
      <c r="G39" s="6" t="n">
        <v>52.62</v>
      </c>
      <c r="H39" s="6" t="n">
        <v>10227</v>
      </c>
      <c r="I39" s="6" t="n">
        <v>23.4</v>
      </c>
      <c r="J39" s="6" t="n">
        <v>0.0024</v>
      </c>
      <c r="K39" s="6" t="n">
        <v>9.121</v>
      </c>
      <c r="L39" s="6" t="n">
        <v>8.985</v>
      </c>
      <c r="M39" s="6" t="n">
        <v>0.112</v>
      </c>
      <c r="N39" s="6" t="n">
        <v>0.025</v>
      </c>
      <c r="O39" s="6" t="n">
        <v>77.38</v>
      </c>
      <c r="P39" s="6" t="n">
        <v>16597022178.8939</v>
      </c>
      <c r="Q39" s="6" t="n">
        <v>10277.627</v>
      </c>
      <c r="R39" s="6" t="n">
        <v>2.083</v>
      </c>
      <c r="S39" s="6" t="n">
        <v>5.045</v>
      </c>
      <c r="T39" s="7" t="b">
        <f aca="false">TRUE()</f>
        <v>1</v>
      </c>
      <c r="U39" s="7" t="b">
        <f aca="false">TRUE()</f>
        <v>1</v>
      </c>
      <c r="V39" s="7" t="b">
        <f aca="false">TRUE()</f>
        <v>1</v>
      </c>
      <c r="W39" s="8" t="b">
        <f aca="false">TRUE()</f>
        <v>1</v>
      </c>
    </row>
    <row r="40" customFormat="false" ht="15" hidden="false" customHeight="true" outlineLevel="0" collapsed="false">
      <c r="A40" s="6" t="s">
        <v>70</v>
      </c>
      <c r="B40" s="6" t="n">
        <v>2</v>
      </c>
      <c r="C40" s="6" t="s">
        <v>60</v>
      </c>
      <c r="D40" s="6" t="n">
        <v>99.9875015623047</v>
      </c>
      <c r="E40" s="6" t="n">
        <v>20.8</v>
      </c>
      <c r="F40" s="6" t="n">
        <v>37.1</v>
      </c>
      <c r="G40" s="6" t="n">
        <v>52.62</v>
      </c>
      <c r="H40" s="6" t="n">
        <v>10227</v>
      </c>
      <c r="I40" s="6" t="n">
        <v>23.4</v>
      </c>
      <c r="J40" s="6" t="n">
        <v>0.0024</v>
      </c>
      <c r="K40" s="6" t="n">
        <v>9.121</v>
      </c>
      <c r="L40" s="6" t="n">
        <v>8.985</v>
      </c>
      <c r="M40" s="6" t="n">
        <v>0.112</v>
      </c>
      <c r="N40" s="6" t="n">
        <v>0.025</v>
      </c>
      <c r="O40" s="6" t="n">
        <v>77.38</v>
      </c>
      <c r="P40" s="6" t="n">
        <v>16597022178.8939</v>
      </c>
      <c r="Q40" s="6" t="n">
        <v>10277.627</v>
      </c>
      <c r="R40" s="6" t="n">
        <v>2.083</v>
      </c>
      <c r="S40" s="6" t="n">
        <v>5.045</v>
      </c>
      <c r="T40" s="7" t="b">
        <f aca="false">TRUE()</f>
        <v>1</v>
      </c>
      <c r="U40" s="7" t="b">
        <f aca="false">TRUE()</f>
        <v>1</v>
      </c>
      <c r="V40" s="7" t="b">
        <f aca="false">TRUE()</f>
        <v>1</v>
      </c>
      <c r="W40" s="8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"/>
    <col collapsed="false" customWidth="true" hidden="false" outlineLevel="0" max="3" min="3" style="1" width="13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19"/>
    <col collapsed="false" customWidth="true" hidden="false" outlineLevel="0" max="9" min="8" style="1" width="11"/>
    <col collapsed="false" customWidth="true" hidden="false" outlineLevel="0" max="10" min="10" style="1" width="12"/>
    <col collapsed="false" customWidth="true" hidden="false" outlineLevel="0" max="11" min="11" style="1" width="13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16"/>
    <col collapsed="false" customWidth="true" hidden="false" outlineLevel="0" max="15" min="15" style="1" width="15"/>
    <col collapsed="false" customWidth="true" hidden="false" outlineLevel="0" max="16" min="16" style="1" width="14"/>
    <col collapsed="false" customWidth="true" hidden="false" outlineLevel="0" max="18" min="17" style="1" width="11"/>
    <col collapsed="false" customWidth="true" hidden="false" outlineLevel="0" max="19" min="19" style="1" width="17"/>
    <col collapsed="false" customWidth="true" hidden="false" outlineLevel="0" max="22" min="20" style="1" width="11"/>
    <col collapsed="false" customWidth="true" hidden="false" outlineLevel="0" max="23" min="23" style="1" width="16"/>
  </cols>
  <sheetData>
    <row r="1" customFormat="false" ht="15.75" hidden="false" customHeight="true" outlineLevel="0" collapsed="false">
      <c r="A1" s="2" t="s">
        <v>71</v>
      </c>
    </row>
    <row r="2" customFormat="false" ht="15" hidden="false" customHeight="true" outlineLevel="0" collapsed="false">
      <c r="A2" s="4" t="s">
        <v>72</v>
      </c>
    </row>
    <row r="4" customFormat="false" ht="15" hidden="false" customHeight="true" outlineLevel="0" collapsed="false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40</v>
      </c>
      <c r="H4" s="5" t="s">
        <v>41</v>
      </c>
      <c r="I4" s="5" t="s">
        <v>42</v>
      </c>
      <c r="J4" s="5" t="s">
        <v>43</v>
      </c>
      <c r="K4" s="5" t="s">
        <v>44</v>
      </c>
      <c r="L4" s="5" t="s">
        <v>45</v>
      </c>
      <c r="M4" s="5" t="s">
        <v>46</v>
      </c>
      <c r="N4" s="5" t="s">
        <v>47</v>
      </c>
      <c r="O4" s="5" t="s">
        <v>48</v>
      </c>
      <c r="P4" s="5" t="s">
        <v>49</v>
      </c>
      <c r="Q4" s="5" t="s">
        <v>50</v>
      </c>
      <c r="R4" s="5" t="s">
        <v>51</v>
      </c>
      <c r="S4" s="5" t="s">
        <v>52</v>
      </c>
      <c r="T4" s="5" t="s">
        <v>53</v>
      </c>
      <c r="U4" s="5" t="s">
        <v>54</v>
      </c>
      <c r="V4" s="5" t="s">
        <v>55</v>
      </c>
      <c r="W4" s="5" t="s">
        <v>56</v>
      </c>
    </row>
    <row r="5" customFormat="false" ht="15" hidden="false" customHeight="true" outlineLevel="0" collapsed="false">
      <c r="A5" s="6" t="s">
        <v>57</v>
      </c>
      <c r="B5" s="6" t="n">
        <v>0</v>
      </c>
      <c r="C5" s="6" t="s">
        <v>58</v>
      </c>
      <c r="D5" s="6" t="n">
        <v>91.2929362090608</v>
      </c>
      <c r="E5" s="6" t="n">
        <v>36.56</v>
      </c>
      <c r="F5" s="6" t="n">
        <v>58.86</v>
      </c>
      <c r="G5" s="6" t="n">
        <v>59.75</v>
      </c>
      <c r="H5" s="6" t="n">
        <v>10492</v>
      </c>
      <c r="I5" s="6" t="n">
        <v>22.8</v>
      </c>
      <c r="J5" s="6" t="n">
        <v>0.0269</v>
      </c>
      <c r="K5" s="6" t="n">
        <v>11.405</v>
      </c>
      <c r="L5" s="6" t="n">
        <v>11.247</v>
      </c>
      <c r="M5" s="6" t="n">
        <v>0.119</v>
      </c>
      <c r="N5" s="6" t="n">
        <v>0.039</v>
      </c>
      <c r="O5" s="6" t="n">
        <v>80.99</v>
      </c>
      <c r="P5" s="6" t="n">
        <v>1731761706.44378</v>
      </c>
      <c r="Q5" s="6" t="n">
        <v>742.987</v>
      </c>
      <c r="R5" s="6" t="n">
        <v>1.403</v>
      </c>
      <c r="S5" s="6" t="n">
        <v>3.18</v>
      </c>
      <c r="T5" s="7" t="b">
        <f aca="false">TRUE()</f>
        <v>1</v>
      </c>
      <c r="U5" s="7" t="b">
        <f aca="false">TRUE()</f>
        <v>1</v>
      </c>
      <c r="V5" s="7" t="b">
        <f aca="false">TRUE()</f>
        <v>1</v>
      </c>
      <c r="W5" s="8" t="b">
        <f aca="false">TRUE()</f>
        <v>1</v>
      </c>
    </row>
    <row r="6" customFormat="false" ht="15" hidden="false" customHeight="true" outlineLevel="0" collapsed="false">
      <c r="A6" s="6" t="s">
        <v>57</v>
      </c>
      <c r="B6" s="6" t="n">
        <v>1</v>
      </c>
      <c r="C6" s="6" t="s">
        <v>58</v>
      </c>
      <c r="D6" s="6" t="n">
        <v>91.2929362090608</v>
      </c>
      <c r="E6" s="6" t="n">
        <v>36.56</v>
      </c>
      <c r="F6" s="6" t="n">
        <v>58.86</v>
      </c>
      <c r="G6" s="6" t="n">
        <v>59.75</v>
      </c>
      <c r="H6" s="6" t="n">
        <v>10492</v>
      </c>
      <c r="I6" s="6" t="n">
        <v>22.8</v>
      </c>
      <c r="J6" s="6" t="n">
        <v>0.0269</v>
      </c>
      <c r="K6" s="6" t="n">
        <v>11.405</v>
      </c>
      <c r="L6" s="6" t="n">
        <v>11.247</v>
      </c>
      <c r="M6" s="6" t="n">
        <v>0.119</v>
      </c>
      <c r="N6" s="6" t="n">
        <v>0.039</v>
      </c>
      <c r="O6" s="6" t="n">
        <v>80.99</v>
      </c>
      <c r="P6" s="6" t="n">
        <v>1731761706.44378</v>
      </c>
      <c r="Q6" s="6" t="n">
        <v>742.987</v>
      </c>
      <c r="R6" s="6" t="n">
        <v>1.403</v>
      </c>
      <c r="S6" s="6" t="n">
        <v>3.18</v>
      </c>
      <c r="T6" s="7" t="b">
        <f aca="false">TRUE()</f>
        <v>1</v>
      </c>
      <c r="U6" s="7" t="b">
        <f aca="false">TRUE()</f>
        <v>1</v>
      </c>
      <c r="V6" s="7" t="b">
        <f aca="false">TRUE()</f>
        <v>1</v>
      </c>
      <c r="W6" s="8" t="b">
        <f aca="false">TRUE()</f>
        <v>1</v>
      </c>
    </row>
    <row r="7" customFormat="false" ht="15" hidden="false" customHeight="true" outlineLevel="0" collapsed="false">
      <c r="A7" s="6" t="s">
        <v>57</v>
      </c>
      <c r="B7" s="6" t="n">
        <v>2</v>
      </c>
      <c r="C7" s="6" t="s">
        <v>58</v>
      </c>
      <c r="D7" s="6" t="n">
        <v>91.2929362090608</v>
      </c>
      <c r="E7" s="6" t="n">
        <v>36.56</v>
      </c>
      <c r="F7" s="6" t="n">
        <v>58.86</v>
      </c>
      <c r="G7" s="6" t="n">
        <v>59.75</v>
      </c>
      <c r="H7" s="6" t="n">
        <v>10492</v>
      </c>
      <c r="I7" s="6" t="n">
        <v>22.8</v>
      </c>
      <c r="J7" s="6" t="n">
        <v>0.0269</v>
      </c>
      <c r="K7" s="6" t="n">
        <v>11.405</v>
      </c>
      <c r="L7" s="6" t="n">
        <v>11.247</v>
      </c>
      <c r="M7" s="6" t="n">
        <v>0.119</v>
      </c>
      <c r="N7" s="6" t="n">
        <v>0.039</v>
      </c>
      <c r="O7" s="6" t="n">
        <v>80.99</v>
      </c>
      <c r="P7" s="6" t="n">
        <v>1731761706.44378</v>
      </c>
      <c r="Q7" s="6" t="n">
        <v>742.987</v>
      </c>
      <c r="R7" s="6" t="n">
        <v>1.403</v>
      </c>
      <c r="S7" s="6" t="n">
        <v>3.18</v>
      </c>
      <c r="T7" s="7" t="b">
        <f aca="false">TRUE()</f>
        <v>1</v>
      </c>
      <c r="U7" s="7" t="b">
        <f aca="false">TRUE()</f>
        <v>1</v>
      </c>
      <c r="V7" s="7" t="b">
        <f aca="false">TRUE()</f>
        <v>1</v>
      </c>
      <c r="W7" s="8" t="b">
        <f aca="false">TRUE()</f>
        <v>1</v>
      </c>
    </row>
    <row r="8" customFormat="false" ht="15" hidden="false" customHeight="true" outlineLevel="0" collapsed="false">
      <c r="A8" s="6" t="s">
        <v>59</v>
      </c>
      <c r="B8" s="6" t="n">
        <v>0</v>
      </c>
      <c r="C8" s="6" t="s">
        <v>60</v>
      </c>
      <c r="D8" s="6" t="n">
        <v>91.2929362090608</v>
      </c>
      <c r="E8" s="6" t="n">
        <v>20.87</v>
      </c>
      <c r="F8" s="6" t="n">
        <v>38.58</v>
      </c>
      <c r="G8" s="6" t="n">
        <v>52.66</v>
      </c>
      <c r="H8" s="6" t="n">
        <v>10230</v>
      </c>
      <c r="I8" s="6" t="n">
        <v>23.3</v>
      </c>
      <c r="J8" s="6" t="n">
        <v>0.0025</v>
      </c>
      <c r="K8" s="6" t="n">
        <v>9.194</v>
      </c>
      <c r="L8" s="6" t="n">
        <v>9.053</v>
      </c>
      <c r="M8" s="6" t="n">
        <v>0.116</v>
      </c>
      <c r="N8" s="6" t="n">
        <v>0.026</v>
      </c>
      <c r="O8" s="6" t="n">
        <v>77.5</v>
      </c>
      <c r="P8" s="6" t="n">
        <v>16372124011.248</v>
      </c>
      <c r="Q8" s="6" t="n">
        <v>8111.155</v>
      </c>
      <c r="R8" s="6" t="n">
        <v>1.74</v>
      </c>
      <c r="S8" s="6" t="n">
        <v>4.852</v>
      </c>
      <c r="T8" s="7" t="b">
        <f aca="false">TRUE()</f>
        <v>1</v>
      </c>
      <c r="U8" s="7" t="b">
        <f aca="false">TRUE()</f>
        <v>1</v>
      </c>
      <c r="V8" s="7" t="b">
        <f aca="false">TRUE()</f>
        <v>1</v>
      </c>
      <c r="W8" s="8" t="b">
        <f aca="false">TRUE()</f>
        <v>1</v>
      </c>
    </row>
    <row r="9" customFormat="false" ht="15" hidden="false" customHeight="true" outlineLevel="0" collapsed="false">
      <c r="A9" s="6" t="s">
        <v>59</v>
      </c>
      <c r="B9" s="6" t="n">
        <v>1</v>
      </c>
      <c r="C9" s="6" t="s">
        <v>60</v>
      </c>
      <c r="D9" s="6" t="n">
        <v>91.2929362090608</v>
      </c>
      <c r="E9" s="6" t="n">
        <v>20.87</v>
      </c>
      <c r="F9" s="6" t="n">
        <v>38.58</v>
      </c>
      <c r="G9" s="6" t="n">
        <v>52.66</v>
      </c>
      <c r="H9" s="6" t="n">
        <v>10230</v>
      </c>
      <c r="I9" s="6" t="n">
        <v>23.3</v>
      </c>
      <c r="J9" s="6" t="n">
        <v>0.0025</v>
      </c>
      <c r="K9" s="6" t="n">
        <v>9.194</v>
      </c>
      <c r="L9" s="6" t="n">
        <v>9.053</v>
      </c>
      <c r="M9" s="6" t="n">
        <v>0.116</v>
      </c>
      <c r="N9" s="6" t="n">
        <v>0.026</v>
      </c>
      <c r="O9" s="6" t="n">
        <v>77.5</v>
      </c>
      <c r="P9" s="6" t="n">
        <v>16372124011.248</v>
      </c>
      <c r="Q9" s="6" t="n">
        <v>8111.155</v>
      </c>
      <c r="R9" s="6" t="n">
        <v>1.74</v>
      </c>
      <c r="S9" s="6" t="n">
        <v>4.852</v>
      </c>
      <c r="T9" s="7" t="b">
        <f aca="false">TRUE()</f>
        <v>1</v>
      </c>
      <c r="U9" s="7" t="b">
        <f aca="false">TRUE()</f>
        <v>1</v>
      </c>
      <c r="V9" s="7" t="b">
        <f aca="false">TRUE()</f>
        <v>1</v>
      </c>
      <c r="W9" s="8" t="b">
        <f aca="false">TRUE()</f>
        <v>1</v>
      </c>
    </row>
    <row r="10" customFormat="false" ht="15" hidden="false" customHeight="true" outlineLevel="0" collapsed="false">
      <c r="A10" s="6" t="s">
        <v>59</v>
      </c>
      <c r="B10" s="6" t="n">
        <v>2</v>
      </c>
      <c r="C10" s="6" t="s">
        <v>60</v>
      </c>
      <c r="D10" s="6" t="n">
        <v>91.2929362090608</v>
      </c>
      <c r="E10" s="6" t="n">
        <v>20.87</v>
      </c>
      <c r="F10" s="6" t="n">
        <v>38.58</v>
      </c>
      <c r="G10" s="6" t="n">
        <v>52.66</v>
      </c>
      <c r="H10" s="6" t="n">
        <v>10230</v>
      </c>
      <c r="I10" s="6" t="n">
        <v>23.3</v>
      </c>
      <c r="J10" s="6" t="n">
        <v>0.0025</v>
      </c>
      <c r="K10" s="6" t="n">
        <v>9.194</v>
      </c>
      <c r="L10" s="6" t="n">
        <v>9.053</v>
      </c>
      <c r="M10" s="6" t="n">
        <v>0.116</v>
      </c>
      <c r="N10" s="6" t="n">
        <v>0.026</v>
      </c>
      <c r="O10" s="6" t="n">
        <v>77.5</v>
      </c>
      <c r="P10" s="6" t="n">
        <v>16372124011.248</v>
      </c>
      <c r="Q10" s="6" t="n">
        <v>8111.155</v>
      </c>
      <c r="R10" s="6" t="n">
        <v>1.74</v>
      </c>
      <c r="S10" s="6" t="n">
        <v>4.852</v>
      </c>
      <c r="T10" s="7" t="b">
        <f aca="false">TRUE()</f>
        <v>1</v>
      </c>
      <c r="U10" s="7" t="b">
        <f aca="false">TRUE()</f>
        <v>1</v>
      </c>
      <c r="V10" s="7" t="b">
        <f aca="false">TRUE()</f>
        <v>1</v>
      </c>
      <c r="W10" s="8" t="b">
        <f aca="false">TRUE()</f>
        <v>1</v>
      </c>
    </row>
    <row r="11" customFormat="false" ht="15" hidden="false" customHeight="true" outlineLevel="0" collapsed="false">
      <c r="A11" s="6" t="s">
        <v>61</v>
      </c>
      <c r="B11" s="6" t="n">
        <v>0</v>
      </c>
      <c r="C11" s="6" t="s">
        <v>60</v>
      </c>
      <c r="D11" s="6" t="n">
        <v>112.485939257593</v>
      </c>
      <c r="E11" s="6" t="n">
        <v>20.7</v>
      </c>
      <c r="F11" s="6" t="n">
        <v>35.2</v>
      </c>
      <c r="G11" s="6" t="n">
        <v>52.58</v>
      </c>
      <c r="H11" s="6" t="n">
        <v>10224</v>
      </c>
      <c r="I11" s="6" t="n">
        <v>23.4</v>
      </c>
      <c r="J11" s="6" t="n">
        <v>0.0024</v>
      </c>
      <c r="K11" s="6" t="n">
        <v>9.029</v>
      </c>
      <c r="L11" s="6" t="n">
        <v>8.9</v>
      </c>
      <c r="M11" s="6" t="n">
        <v>0.106</v>
      </c>
      <c r="N11" s="6" t="n">
        <v>0.023</v>
      </c>
      <c r="O11" s="6" t="n">
        <v>77.24</v>
      </c>
      <c r="P11" s="6" t="n">
        <v>16921704899.0831</v>
      </c>
      <c r="Q11" s="6" t="n">
        <v>8383.717</v>
      </c>
      <c r="R11" s="6" t="n">
        <v>1.772</v>
      </c>
      <c r="S11" s="6" t="n">
        <v>5.318</v>
      </c>
      <c r="T11" s="7" t="b">
        <f aca="false">TRUE()</f>
        <v>1</v>
      </c>
      <c r="U11" s="7" t="b">
        <f aca="false">TRUE()</f>
        <v>1</v>
      </c>
      <c r="V11" s="7" t="b">
        <f aca="false">TRUE()</f>
        <v>1</v>
      </c>
      <c r="W11" s="8" t="b">
        <f aca="false">TRUE()</f>
        <v>1</v>
      </c>
    </row>
    <row r="12" customFormat="false" ht="15" hidden="false" customHeight="true" outlineLevel="0" collapsed="false">
      <c r="A12" s="6" t="s">
        <v>61</v>
      </c>
      <c r="B12" s="6" t="n">
        <v>1</v>
      </c>
      <c r="C12" s="6" t="s">
        <v>60</v>
      </c>
      <c r="D12" s="6" t="n">
        <v>112.485939257593</v>
      </c>
      <c r="E12" s="6" t="n">
        <v>20.7</v>
      </c>
      <c r="F12" s="6" t="n">
        <v>35.2</v>
      </c>
      <c r="G12" s="6" t="n">
        <v>52.58</v>
      </c>
      <c r="H12" s="6" t="n">
        <v>10224</v>
      </c>
      <c r="I12" s="6" t="n">
        <v>23.4</v>
      </c>
      <c r="J12" s="6" t="n">
        <v>0.0024</v>
      </c>
      <c r="K12" s="6" t="n">
        <v>9.029</v>
      </c>
      <c r="L12" s="6" t="n">
        <v>8.9</v>
      </c>
      <c r="M12" s="6" t="n">
        <v>0.106</v>
      </c>
      <c r="N12" s="6" t="n">
        <v>0.023</v>
      </c>
      <c r="O12" s="6" t="n">
        <v>77.24</v>
      </c>
      <c r="P12" s="6" t="n">
        <v>16921704899.0831</v>
      </c>
      <c r="Q12" s="6" t="n">
        <v>8383.717</v>
      </c>
      <c r="R12" s="6" t="n">
        <v>1.772</v>
      </c>
      <c r="S12" s="6" t="n">
        <v>5.318</v>
      </c>
      <c r="T12" s="7" t="b">
        <f aca="false">TRUE()</f>
        <v>1</v>
      </c>
      <c r="U12" s="7" t="b">
        <f aca="false">TRUE()</f>
        <v>1</v>
      </c>
      <c r="V12" s="7" t="b">
        <f aca="false">TRUE()</f>
        <v>1</v>
      </c>
      <c r="W12" s="8" t="b">
        <f aca="false">TRUE()</f>
        <v>1</v>
      </c>
    </row>
    <row r="13" customFormat="false" ht="15" hidden="false" customHeight="true" outlineLevel="0" collapsed="false">
      <c r="A13" s="6" t="s">
        <v>61</v>
      </c>
      <c r="B13" s="6" t="n">
        <v>2</v>
      </c>
      <c r="C13" s="6" t="s">
        <v>60</v>
      </c>
      <c r="D13" s="6" t="n">
        <v>112.485939257593</v>
      </c>
      <c r="E13" s="6" t="n">
        <v>20.7</v>
      </c>
      <c r="F13" s="6" t="n">
        <v>35.2</v>
      </c>
      <c r="G13" s="6" t="n">
        <v>52.58</v>
      </c>
      <c r="H13" s="6" t="n">
        <v>10224</v>
      </c>
      <c r="I13" s="6" t="n">
        <v>23.4</v>
      </c>
      <c r="J13" s="6" t="n">
        <v>0.0024</v>
      </c>
      <c r="K13" s="6" t="n">
        <v>9.029</v>
      </c>
      <c r="L13" s="6" t="n">
        <v>8.9</v>
      </c>
      <c r="M13" s="6" t="n">
        <v>0.106</v>
      </c>
      <c r="N13" s="6" t="n">
        <v>0.023</v>
      </c>
      <c r="O13" s="6" t="n">
        <v>77.24</v>
      </c>
      <c r="P13" s="6" t="n">
        <v>16921704899.0831</v>
      </c>
      <c r="Q13" s="6" t="n">
        <v>8383.717</v>
      </c>
      <c r="R13" s="6" t="n">
        <v>1.772</v>
      </c>
      <c r="S13" s="6" t="n">
        <v>5.318</v>
      </c>
      <c r="T13" s="7" t="b">
        <f aca="false">TRUE()</f>
        <v>1</v>
      </c>
      <c r="U13" s="7" t="b">
        <f aca="false">TRUE()</f>
        <v>1</v>
      </c>
      <c r="V13" s="7" t="b">
        <f aca="false">TRUE()</f>
        <v>1</v>
      </c>
      <c r="W13" s="8" t="b">
        <f aca="false">TRUE()</f>
        <v>1</v>
      </c>
    </row>
    <row r="14" customFormat="false" ht="15" hidden="false" customHeight="true" outlineLevel="0" collapsed="false">
      <c r="A14" s="6" t="s">
        <v>62</v>
      </c>
      <c r="B14" s="6" t="n">
        <v>0</v>
      </c>
      <c r="C14" s="6" t="s">
        <v>58</v>
      </c>
      <c r="D14" s="6" t="n">
        <v>286.327845382964</v>
      </c>
      <c r="E14" s="6" t="n">
        <v>37.12</v>
      </c>
      <c r="F14" s="6" t="n">
        <v>66.31</v>
      </c>
      <c r="G14" s="6" t="n">
        <v>60</v>
      </c>
      <c r="H14" s="6" t="n">
        <v>10484</v>
      </c>
      <c r="I14" s="6" t="n">
        <v>21.8</v>
      </c>
      <c r="J14" s="6" t="n">
        <v>0.028</v>
      </c>
      <c r="K14" s="6" t="n">
        <v>13.581</v>
      </c>
      <c r="L14" s="6" t="n">
        <v>13.404</v>
      </c>
      <c r="M14" s="6" t="n">
        <v>0.133</v>
      </c>
      <c r="N14" s="6" t="n">
        <v>0.044</v>
      </c>
      <c r="O14" s="6" t="n">
        <v>84.41</v>
      </c>
      <c r="P14" s="6" t="n">
        <v>1632425714.04058</v>
      </c>
      <c r="Q14" s="6" t="n">
        <v>713.831</v>
      </c>
      <c r="R14" s="6" t="n">
        <v>1.178</v>
      </c>
      <c r="S14" s="6" t="n">
        <v>2.823</v>
      </c>
      <c r="T14" s="7" t="b">
        <f aca="false">TRUE()</f>
        <v>1</v>
      </c>
      <c r="U14" s="7" t="b">
        <f aca="false">TRUE()</f>
        <v>1</v>
      </c>
      <c r="V14" s="7" t="b">
        <f aca="false">TRUE()</f>
        <v>1</v>
      </c>
      <c r="W14" s="8" t="b">
        <f aca="false">TRUE()</f>
        <v>1</v>
      </c>
    </row>
    <row r="15" customFormat="false" ht="15" hidden="false" customHeight="true" outlineLevel="0" collapsed="false">
      <c r="A15" s="6" t="s">
        <v>62</v>
      </c>
      <c r="B15" s="6" t="n">
        <v>1</v>
      </c>
      <c r="C15" s="6" t="s">
        <v>58</v>
      </c>
      <c r="D15" s="6" t="n">
        <v>286.327845382964</v>
      </c>
      <c r="E15" s="6" t="n">
        <v>37.12</v>
      </c>
      <c r="F15" s="6" t="n">
        <v>66.31</v>
      </c>
      <c r="G15" s="6" t="n">
        <v>60</v>
      </c>
      <c r="H15" s="6" t="n">
        <v>10484</v>
      </c>
      <c r="I15" s="6" t="n">
        <v>21.8</v>
      </c>
      <c r="J15" s="6" t="n">
        <v>0.028</v>
      </c>
      <c r="K15" s="6" t="n">
        <v>13.581</v>
      </c>
      <c r="L15" s="6" t="n">
        <v>13.404</v>
      </c>
      <c r="M15" s="6" t="n">
        <v>0.133</v>
      </c>
      <c r="N15" s="6" t="n">
        <v>0.044</v>
      </c>
      <c r="O15" s="6" t="n">
        <v>84.41</v>
      </c>
      <c r="P15" s="6" t="n">
        <v>1632425714.04058</v>
      </c>
      <c r="Q15" s="6" t="n">
        <v>713.831</v>
      </c>
      <c r="R15" s="6" t="n">
        <v>1.178</v>
      </c>
      <c r="S15" s="6" t="n">
        <v>2.823</v>
      </c>
      <c r="T15" s="7" t="b">
        <f aca="false">TRUE()</f>
        <v>1</v>
      </c>
      <c r="U15" s="7" t="b">
        <f aca="false">TRUE()</f>
        <v>1</v>
      </c>
      <c r="V15" s="7" t="b">
        <f aca="false">TRUE()</f>
        <v>1</v>
      </c>
      <c r="W15" s="8" t="b">
        <f aca="false">TRUE()</f>
        <v>1</v>
      </c>
    </row>
    <row r="16" customFormat="false" ht="15" hidden="false" customHeight="true" outlineLevel="0" collapsed="false">
      <c r="A16" s="6" t="s">
        <v>62</v>
      </c>
      <c r="B16" s="6" t="n">
        <v>2</v>
      </c>
      <c r="C16" s="6" t="s">
        <v>58</v>
      </c>
      <c r="D16" s="6" t="n">
        <v>286.327845382964</v>
      </c>
      <c r="E16" s="6" t="n">
        <v>37.12</v>
      </c>
      <c r="F16" s="6" t="n">
        <v>66.31</v>
      </c>
      <c r="G16" s="6" t="n">
        <v>60</v>
      </c>
      <c r="H16" s="6" t="n">
        <v>10484</v>
      </c>
      <c r="I16" s="6" t="n">
        <v>21.8</v>
      </c>
      <c r="J16" s="6" t="n">
        <v>0.028</v>
      </c>
      <c r="K16" s="6" t="n">
        <v>13.581</v>
      </c>
      <c r="L16" s="6" t="n">
        <v>13.404</v>
      </c>
      <c r="M16" s="6" t="n">
        <v>0.133</v>
      </c>
      <c r="N16" s="6" t="n">
        <v>0.044</v>
      </c>
      <c r="O16" s="6" t="n">
        <v>84.41</v>
      </c>
      <c r="P16" s="6" t="n">
        <v>1632425714.04058</v>
      </c>
      <c r="Q16" s="6" t="n">
        <v>713.831</v>
      </c>
      <c r="R16" s="6" t="n">
        <v>1.178</v>
      </c>
      <c r="S16" s="6" t="n">
        <v>2.823</v>
      </c>
      <c r="T16" s="7" t="b">
        <f aca="false">TRUE()</f>
        <v>1</v>
      </c>
      <c r="U16" s="7" t="b">
        <f aca="false">TRUE()</f>
        <v>1</v>
      </c>
      <c r="V16" s="7" t="b">
        <f aca="false">TRUE()</f>
        <v>1</v>
      </c>
      <c r="W16" s="8" t="b">
        <f aca="false">TRUE()</f>
        <v>1</v>
      </c>
    </row>
    <row r="17" customFormat="false" ht="15" hidden="false" customHeight="true" outlineLevel="0" collapsed="false">
      <c r="A17" s="6" t="s">
        <v>63</v>
      </c>
      <c r="B17" s="6" t="n">
        <v>0</v>
      </c>
      <c r="C17" s="6" t="s">
        <v>60</v>
      </c>
      <c r="D17" s="6" t="n">
        <v>286.327845382964</v>
      </c>
      <c r="E17" s="6" t="n">
        <v>20.11</v>
      </c>
      <c r="F17" s="6" t="n">
        <v>22.27</v>
      </c>
      <c r="G17" s="6" t="n">
        <v>52.59</v>
      </c>
      <c r="H17" s="6" t="n">
        <v>10220</v>
      </c>
      <c r="I17" s="6" t="n">
        <v>23.5</v>
      </c>
      <c r="J17" s="6" t="n">
        <v>0.0021</v>
      </c>
      <c r="K17" s="6" t="n">
        <v>8.816</v>
      </c>
      <c r="L17" s="6" t="n">
        <v>8.733</v>
      </c>
      <c r="M17" s="6" t="n">
        <v>0.067</v>
      </c>
      <c r="N17" s="6" t="n">
        <v>0.015</v>
      </c>
      <c r="O17" s="6" t="n">
        <v>76.9</v>
      </c>
      <c r="P17" s="6" t="n">
        <v>18978961681.3091</v>
      </c>
      <c r="Q17" s="6" t="n">
        <v>9451.5</v>
      </c>
      <c r="R17" s="6" t="n">
        <v>1.815</v>
      </c>
      <c r="S17" s="6" t="n">
        <v>8.405</v>
      </c>
      <c r="T17" s="7" t="b">
        <f aca="false">TRUE()</f>
        <v>1</v>
      </c>
      <c r="U17" s="7" t="b">
        <f aca="false">TRUE()</f>
        <v>1</v>
      </c>
      <c r="V17" s="7" t="b">
        <f aca="false">TRUE()</f>
        <v>1</v>
      </c>
      <c r="W17" s="8" t="b">
        <f aca="false">TRUE()</f>
        <v>1</v>
      </c>
    </row>
    <row r="18" customFormat="false" ht="15" hidden="false" customHeight="true" outlineLevel="0" collapsed="false">
      <c r="A18" s="6" t="s">
        <v>63</v>
      </c>
      <c r="B18" s="6" t="n">
        <v>1</v>
      </c>
      <c r="C18" s="6" t="s">
        <v>60</v>
      </c>
      <c r="D18" s="6" t="n">
        <v>286.327845382964</v>
      </c>
      <c r="E18" s="6" t="n">
        <v>20.11</v>
      </c>
      <c r="F18" s="6" t="n">
        <v>22.27</v>
      </c>
      <c r="G18" s="6" t="n">
        <v>52.59</v>
      </c>
      <c r="H18" s="6" t="n">
        <v>10220</v>
      </c>
      <c r="I18" s="6" t="n">
        <v>23.5</v>
      </c>
      <c r="J18" s="6" t="n">
        <v>0.0021</v>
      </c>
      <c r="K18" s="6" t="n">
        <v>8.816</v>
      </c>
      <c r="L18" s="6" t="n">
        <v>8.733</v>
      </c>
      <c r="M18" s="6" t="n">
        <v>0.067</v>
      </c>
      <c r="N18" s="6" t="n">
        <v>0.015</v>
      </c>
      <c r="O18" s="6" t="n">
        <v>76.9</v>
      </c>
      <c r="P18" s="6" t="n">
        <v>18978961681.3091</v>
      </c>
      <c r="Q18" s="6" t="n">
        <v>9451.5</v>
      </c>
      <c r="R18" s="6" t="n">
        <v>1.815</v>
      </c>
      <c r="S18" s="6" t="n">
        <v>8.405</v>
      </c>
      <c r="T18" s="7" t="b">
        <f aca="false">TRUE()</f>
        <v>1</v>
      </c>
      <c r="U18" s="7" t="b">
        <f aca="false">TRUE()</f>
        <v>1</v>
      </c>
      <c r="V18" s="7" t="b">
        <f aca="false">TRUE()</f>
        <v>1</v>
      </c>
      <c r="W18" s="8" t="b">
        <f aca="false">TRUE()</f>
        <v>1</v>
      </c>
    </row>
    <row r="19" customFormat="false" ht="15" hidden="false" customHeight="true" outlineLevel="0" collapsed="false">
      <c r="A19" s="6" t="s">
        <v>63</v>
      </c>
      <c r="B19" s="6" t="n">
        <v>2</v>
      </c>
      <c r="C19" s="6" t="s">
        <v>60</v>
      </c>
      <c r="D19" s="6" t="n">
        <v>286.327845382964</v>
      </c>
      <c r="E19" s="6" t="n">
        <v>20.11</v>
      </c>
      <c r="F19" s="6" t="n">
        <v>22.27</v>
      </c>
      <c r="G19" s="6" t="n">
        <v>52.59</v>
      </c>
      <c r="H19" s="6" t="n">
        <v>10220</v>
      </c>
      <c r="I19" s="6" t="n">
        <v>23.5</v>
      </c>
      <c r="J19" s="6" t="n">
        <v>0.0021</v>
      </c>
      <c r="K19" s="6" t="n">
        <v>8.816</v>
      </c>
      <c r="L19" s="6" t="n">
        <v>8.733</v>
      </c>
      <c r="M19" s="6" t="n">
        <v>0.067</v>
      </c>
      <c r="N19" s="6" t="n">
        <v>0.015</v>
      </c>
      <c r="O19" s="6" t="n">
        <v>76.9</v>
      </c>
      <c r="P19" s="6" t="n">
        <v>18978961681.3091</v>
      </c>
      <c r="Q19" s="6" t="n">
        <v>9451.5</v>
      </c>
      <c r="R19" s="6" t="n">
        <v>1.815</v>
      </c>
      <c r="S19" s="6" t="n">
        <v>8.405</v>
      </c>
      <c r="T19" s="7" t="b">
        <f aca="false">TRUE()</f>
        <v>1</v>
      </c>
      <c r="U19" s="7" t="b">
        <f aca="false">TRUE()</f>
        <v>1</v>
      </c>
      <c r="V19" s="7" t="b">
        <f aca="false">TRUE()</f>
        <v>1</v>
      </c>
      <c r="W19" s="8" t="b">
        <f aca="false">TRUE()</f>
        <v>1</v>
      </c>
    </row>
    <row r="20" customFormat="false" ht="15" hidden="false" customHeight="true" outlineLevel="0" collapsed="false">
      <c r="A20" s="6" t="s">
        <v>64</v>
      </c>
      <c r="B20" s="6" t="n">
        <v>0</v>
      </c>
      <c r="C20" s="6" t="s">
        <v>58</v>
      </c>
      <c r="D20" s="6" t="n">
        <v>77.7680567706814</v>
      </c>
      <c r="E20" s="6" t="n">
        <v>36.85</v>
      </c>
      <c r="F20" s="6" t="n">
        <v>59.13</v>
      </c>
      <c r="G20" s="6" t="n">
        <v>59.74</v>
      </c>
      <c r="H20" s="6" t="n">
        <v>10489</v>
      </c>
      <c r="I20" s="6" t="n">
        <v>22.8</v>
      </c>
      <c r="J20" s="6" t="n">
        <v>0.0278</v>
      </c>
      <c r="K20" s="6" t="n">
        <v>11.404</v>
      </c>
      <c r="L20" s="6" t="n">
        <v>11.245</v>
      </c>
      <c r="M20" s="6" t="n">
        <v>0.12</v>
      </c>
      <c r="N20" s="6" t="n">
        <v>0.039</v>
      </c>
      <c r="O20" s="6" t="n">
        <v>80.99</v>
      </c>
      <c r="P20" s="6" t="n">
        <v>1679212353.55691</v>
      </c>
      <c r="Q20" s="6" t="n">
        <v>718.89</v>
      </c>
      <c r="R20" s="6" t="n">
        <v>1.403</v>
      </c>
      <c r="S20" s="6" t="n">
        <v>3.166</v>
      </c>
      <c r="T20" s="7" t="b">
        <f aca="false">TRUE()</f>
        <v>1</v>
      </c>
      <c r="U20" s="7" t="b">
        <f aca="false">TRUE()</f>
        <v>1</v>
      </c>
      <c r="V20" s="7" t="b">
        <f aca="false">TRUE()</f>
        <v>1</v>
      </c>
      <c r="W20" s="8" t="b">
        <f aca="false">TRUE()</f>
        <v>1</v>
      </c>
    </row>
    <row r="21" customFormat="false" ht="15" hidden="false" customHeight="true" outlineLevel="0" collapsed="false">
      <c r="A21" s="6" t="s">
        <v>64</v>
      </c>
      <c r="B21" s="6" t="n">
        <v>1</v>
      </c>
      <c r="C21" s="6" t="s">
        <v>58</v>
      </c>
      <c r="D21" s="6" t="n">
        <v>77.7680567706814</v>
      </c>
      <c r="E21" s="6" t="n">
        <v>36.85</v>
      </c>
      <c r="F21" s="6" t="n">
        <v>59.13</v>
      </c>
      <c r="G21" s="6" t="n">
        <v>59.74</v>
      </c>
      <c r="H21" s="6" t="n">
        <v>10489</v>
      </c>
      <c r="I21" s="6" t="n">
        <v>22.8</v>
      </c>
      <c r="J21" s="6" t="n">
        <v>0.0278</v>
      </c>
      <c r="K21" s="6" t="n">
        <v>11.404</v>
      </c>
      <c r="L21" s="6" t="n">
        <v>11.245</v>
      </c>
      <c r="M21" s="6" t="n">
        <v>0.12</v>
      </c>
      <c r="N21" s="6" t="n">
        <v>0.039</v>
      </c>
      <c r="O21" s="6" t="n">
        <v>80.99</v>
      </c>
      <c r="P21" s="6" t="n">
        <v>1679212353.55691</v>
      </c>
      <c r="Q21" s="6" t="n">
        <v>718.89</v>
      </c>
      <c r="R21" s="6" t="n">
        <v>1.403</v>
      </c>
      <c r="S21" s="6" t="n">
        <v>3.166</v>
      </c>
      <c r="T21" s="7" t="b">
        <f aca="false">TRUE()</f>
        <v>1</v>
      </c>
      <c r="U21" s="7" t="b">
        <f aca="false">TRUE()</f>
        <v>1</v>
      </c>
      <c r="V21" s="7" t="b">
        <f aca="false">TRUE()</f>
        <v>1</v>
      </c>
      <c r="W21" s="8" t="b">
        <f aca="false">TRUE()</f>
        <v>1</v>
      </c>
    </row>
    <row r="22" customFormat="false" ht="15" hidden="false" customHeight="true" outlineLevel="0" collapsed="false">
      <c r="A22" s="6" t="s">
        <v>64</v>
      </c>
      <c r="B22" s="6" t="n">
        <v>2</v>
      </c>
      <c r="C22" s="6" t="s">
        <v>58</v>
      </c>
      <c r="D22" s="6" t="n">
        <v>77.7680567706814</v>
      </c>
      <c r="E22" s="6" t="n">
        <v>36.85</v>
      </c>
      <c r="F22" s="6" t="n">
        <v>59.13</v>
      </c>
      <c r="G22" s="6" t="n">
        <v>59.74</v>
      </c>
      <c r="H22" s="6" t="n">
        <v>10489</v>
      </c>
      <c r="I22" s="6" t="n">
        <v>22.8</v>
      </c>
      <c r="J22" s="6" t="n">
        <v>0.0278</v>
      </c>
      <c r="K22" s="6" t="n">
        <v>11.404</v>
      </c>
      <c r="L22" s="6" t="n">
        <v>11.245</v>
      </c>
      <c r="M22" s="6" t="n">
        <v>0.12</v>
      </c>
      <c r="N22" s="6" t="n">
        <v>0.039</v>
      </c>
      <c r="O22" s="6" t="n">
        <v>80.99</v>
      </c>
      <c r="P22" s="6" t="n">
        <v>1679212353.55691</v>
      </c>
      <c r="Q22" s="6" t="n">
        <v>718.89</v>
      </c>
      <c r="R22" s="6" t="n">
        <v>1.403</v>
      </c>
      <c r="S22" s="6" t="n">
        <v>3.166</v>
      </c>
      <c r="T22" s="7" t="b">
        <f aca="false">TRUE()</f>
        <v>1</v>
      </c>
      <c r="U22" s="7" t="b">
        <f aca="false">TRUE()</f>
        <v>1</v>
      </c>
      <c r="V22" s="7" t="b">
        <f aca="false">TRUE()</f>
        <v>1</v>
      </c>
      <c r="W22" s="8" t="b">
        <f aca="false">TRUE()</f>
        <v>1</v>
      </c>
    </row>
    <row r="23" customFormat="false" ht="15" hidden="false" customHeight="true" outlineLevel="0" collapsed="false">
      <c r="A23" s="6" t="s">
        <v>65</v>
      </c>
      <c r="B23" s="6" t="n">
        <v>0</v>
      </c>
      <c r="C23" s="6" t="s">
        <v>58</v>
      </c>
      <c r="D23" s="6" t="n">
        <v>86.2905835400712</v>
      </c>
      <c r="E23" s="6" t="n">
        <v>36.65</v>
      </c>
      <c r="F23" s="6" t="n">
        <v>58.93</v>
      </c>
      <c r="G23" s="6" t="n">
        <v>59.75</v>
      </c>
      <c r="H23" s="6" t="n">
        <v>10491</v>
      </c>
      <c r="I23" s="6" t="n">
        <v>22.8</v>
      </c>
      <c r="J23" s="6" t="n">
        <v>0.0272</v>
      </c>
      <c r="K23" s="6" t="n">
        <v>11.386</v>
      </c>
      <c r="L23" s="6" t="n">
        <v>11.228</v>
      </c>
      <c r="M23" s="6" t="n">
        <v>0.119</v>
      </c>
      <c r="N23" s="6" t="n">
        <v>0.039</v>
      </c>
      <c r="O23" s="6" t="n">
        <v>80.96</v>
      </c>
      <c r="P23" s="6" t="n">
        <v>1715300986.74004</v>
      </c>
      <c r="Q23" s="6" t="n">
        <v>735.28</v>
      </c>
      <c r="R23" s="6" t="n">
        <v>1.405</v>
      </c>
      <c r="S23" s="6" t="n">
        <v>3.176</v>
      </c>
      <c r="T23" s="7" t="b">
        <f aca="false">TRUE()</f>
        <v>1</v>
      </c>
      <c r="U23" s="7" t="b">
        <f aca="false">TRUE()</f>
        <v>1</v>
      </c>
      <c r="V23" s="7" t="b">
        <f aca="false">TRUE()</f>
        <v>1</v>
      </c>
      <c r="W23" s="8" t="b">
        <f aca="false">TRUE()</f>
        <v>1</v>
      </c>
    </row>
    <row r="24" customFormat="false" ht="15" hidden="false" customHeight="true" outlineLevel="0" collapsed="false">
      <c r="A24" s="6" t="s">
        <v>65</v>
      </c>
      <c r="B24" s="6" t="n">
        <v>1</v>
      </c>
      <c r="C24" s="6" t="s">
        <v>58</v>
      </c>
      <c r="D24" s="6" t="n">
        <v>86.2905835400712</v>
      </c>
      <c r="E24" s="6" t="n">
        <v>36.65</v>
      </c>
      <c r="F24" s="6" t="n">
        <v>58.93</v>
      </c>
      <c r="G24" s="6" t="n">
        <v>59.75</v>
      </c>
      <c r="H24" s="6" t="n">
        <v>10491</v>
      </c>
      <c r="I24" s="6" t="n">
        <v>22.8</v>
      </c>
      <c r="J24" s="6" t="n">
        <v>0.0272</v>
      </c>
      <c r="K24" s="6" t="n">
        <v>11.386</v>
      </c>
      <c r="L24" s="6" t="n">
        <v>11.228</v>
      </c>
      <c r="M24" s="6" t="n">
        <v>0.119</v>
      </c>
      <c r="N24" s="6" t="n">
        <v>0.039</v>
      </c>
      <c r="O24" s="6" t="n">
        <v>80.96</v>
      </c>
      <c r="P24" s="6" t="n">
        <v>1715300986.74004</v>
      </c>
      <c r="Q24" s="6" t="n">
        <v>735.28</v>
      </c>
      <c r="R24" s="6" t="n">
        <v>1.405</v>
      </c>
      <c r="S24" s="6" t="n">
        <v>3.176</v>
      </c>
      <c r="T24" s="7" t="b">
        <f aca="false">TRUE()</f>
        <v>1</v>
      </c>
      <c r="U24" s="7" t="b">
        <f aca="false">TRUE()</f>
        <v>1</v>
      </c>
      <c r="V24" s="7" t="b">
        <f aca="false">TRUE()</f>
        <v>1</v>
      </c>
      <c r="W24" s="8" t="b">
        <f aca="false">TRUE()</f>
        <v>1</v>
      </c>
    </row>
    <row r="25" customFormat="false" ht="15" hidden="false" customHeight="true" outlineLevel="0" collapsed="false">
      <c r="A25" s="6" t="s">
        <v>65</v>
      </c>
      <c r="B25" s="6" t="n">
        <v>2</v>
      </c>
      <c r="C25" s="6" t="s">
        <v>58</v>
      </c>
      <c r="D25" s="6" t="n">
        <v>86.2905835400712</v>
      </c>
      <c r="E25" s="6" t="n">
        <v>36.65</v>
      </c>
      <c r="F25" s="6" t="n">
        <v>58.93</v>
      </c>
      <c r="G25" s="6" t="n">
        <v>59.75</v>
      </c>
      <c r="H25" s="6" t="n">
        <v>10491</v>
      </c>
      <c r="I25" s="6" t="n">
        <v>22.8</v>
      </c>
      <c r="J25" s="6" t="n">
        <v>0.0272</v>
      </c>
      <c r="K25" s="6" t="n">
        <v>11.386</v>
      </c>
      <c r="L25" s="6" t="n">
        <v>11.228</v>
      </c>
      <c r="M25" s="6" t="n">
        <v>0.119</v>
      </c>
      <c r="N25" s="6" t="n">
        <v>0.039</v>
      </c>
      <c r="O25" s="6" t="n">
        <v>80.96</v>
      </c>
      <c r="P25" s="6" t="n">
        <v>1715300986.74004</v>
      </c>
      <c r="Q25" s="6" t="n">
        <v>735.28</v>
      </c>
      <c r="R25" s="6" t="n">
        <v>1.405</v>
      </c>
      <c r="S25" s="6" t="n">
        <v>3.176</v>
      </c>
      <c r="T25" s="7" t="b">
        <f aca="false">TRUE()</f>
        <v>1</v>
      </c>
      <c r="U25" s="7" t="b">
        <f aca="false">TRUE()</f>
        <v>1</v>
      </c>
      <c r="V25" s="7" t="b">
        <f aca="false">TRUE()</f>
        <v>1</v>
      </c>
      <c r="W25" s="8" t="b">
        <f aca="false">TRUE()</f>
        <v>1</v>
      </c>
    </row>
    <row r="26" customFormat="false" ht="15" hidden="false" customHeight="true" outlineLevel="0" collapsed="false">
      <c r="A26" s="6" t="s">
        <v>66</v>
      </c>
      <c r="B26" s="6" t="n">
        <v>0</v>
      </c>
      <c r="C26" s="6" t="s">
        <v>60</v>
      </c>
      <c r="D26" s="6" t="n">
        <v>131.233595800525</v>
      </c>
      <c r="E26" s="6" t="n">
        <v>20.59</v>
      </c>
      <c r="F26" s="6" t="n">
        <v>32.77</v>
      </c>
      <c r="G26" s="6" t="n">
        <v>52.53</v>
      </c>
      <c r="H26" s="6" t="n">
        <v>10221</v>
      </c>
      <c r="I26" s="6" t="n">
        <v>23.5</v>
      </c>
      <c r="J26" s="6" t="n">
        <v>0.0023</v>
      </c>
      <c r="K26" s="6" t="n">
        <v>8.92</v>
      </c>
      <c r="L26" s="6" t="n">
        <v>8.799</v>
      </c>
      <c r="M26" s="6" t="n">
        <v>0.099</v>
      </c>
      <c r="N26" s="6" t="n">
        <v>0.022</v>
      </c>
      <c r="O26" s="6" t="n">
        <v>77.06</v>
      </c>
      <c r="P26" s="6" t="n">
        <v>17289875313.2792</v>
      </c>
      <c r="Q26" s="6" t="n">
        <v>8566.104</v>
      </c>
      <c r="R26" s="6" t="n">
        <v>1.794</v>
      </c>
      <c r="S26" s="6" t="n">
        <v>5.712</v>
      </c>
      <c r="T26" s="7" t="b">
        <f aca="false">TRUE()</f>
        <v>1</v>
      </c>
      <c r="U26" s="7" t="b">
        <f aca="false">TRUE()</f>
        <v>1</v>
      </c>
      <c r="V26" s="7" t="b">
        <f aca="false">TRUE()</f>
        <v>1</v>
      </c>
      <c r="W26" s="8" t="b">
        <f aca="false">TRUE()</f>
        <v>1</v>
      </c>
    </row>
    <row r="27" customFormat="false" ht="15" hidden="false" customHeight="true" outlineLevel="0" collapsed="false">
      <c r="A27" s="6" t="s">
        <v>66</v>
      </c>
      <c r="B27" s="6" t="n">
        <v>1</v>
      </c>
      <c r="C27" s="6" t="s">
        <v>60</v>
      </c>
      <c r="D27" s="6" t="n">
        <v>131.233595800525</v>
      </c>
      <c r="E27" s="6" t="n">
        <v>20.59</v>
      </c>
      <c r="F27" s="6" t="n">
        <v>32.77</v>
      </c>
      <c r="G27" s="6" t="n">
        <v>52.53</v>
      </c>
      <c r="H27" s="6" t="n">
        <v>10221</v>
      </c>
      <c r="I27" s="6" t="n">
        <v>23.5</v>
      </c>
      <c r="J27" s="6" t="n">
        <v>0.0023</v>
      </c>
      <c r="K27" s="6" t="n">
        <v>8.92</v>
      </c>
      <c r="L27" s="6" t="n">
        <v>8.799</v>
      </c>
      <c r="M27" s="6" t="n">
        <v>0.099</v>
      </c>
      <c r="N27" s="6" t="n">
        <v>0.022</v>
      </c>
      <c r="O27" s="6" t="n">
        <v>77.06</v>
      </c>
      <c r="P27" s="6" t="n">
        <v>17289875313.2792</v>
      </c>
      <c r="Q27" s="6" t="n">
        <v>8566.104</v>
      </c>
      <c r="R27" s="6" t="n">
        <v>1.794</v>
      </c>
      <c r="S27" s="6" t="n">
        <v>5.712</v>
      </c>
      <c r="T27" s="7" t="b">
        <f aca="false">TRUE()</f>
        <v>1</v>
      </c>
      <c r="U27" s="7" t="b">
        <f aca="false">TRUE()</f>
        <v>1</v>
      </c>
      <c r="V27" s="7" t="b">
        <f aca="false">TRUE()</f>
        <v>1</v>
      </c>
      <c r="W27" s="8" t="b">
        <f aca="false">TRUE()</f>
        <v>1</v>
      </c>
    </row>
    <row r="28" customFormat="false" ht="15" hidden="false" customHeight="true" outlineLevel="0" collapsed="false">
      <c r="A28" s="6" t="s">
        <v>66</v>
      </c>
      <c r="B28" s="6" t="n">
        <v>2</v>
      </c>
      <c r="C28" s="6" t="s">
        <v>60</v>
      </c>
      <c r="D28" s="6" t="n">
        <v>131.233595800525</v>
      </c>
      <c r="E28" s="6" t="n">
        <v>20.59</v>
      </c>
      <c r="F28" s="6" t="n">
        <v>32.77</v>
      </c>
      <c r="G28" s="6" t="n">
        <v>52.53</v>
      </c>
      <c r="H28" s="6" t="n">
        <v>10221</v>
      </c>
      <c r="I28" s="6" t="n">
        <v>23.5</v>
      </c>
      <c r="J28" s="6" t="n">
        <v>0.0023</v>
      </c>
      <c r="K28" s="6" t="n">
        <v>8.92</v>
      </c>
      <c r="L28" s="6" t="n">
        <v>8.799</v>
      </c>
      <c r="M28" s="6" t="n">
        <v>0.099</v>
      </c>
      <c r="N28" s="6" t="n">
        <v>0.022</v>
      </c>
      <c r="O28" s="6" t="n">
        <v>77.06</v>
      </c>
      <c r="P28" s="6" t="n">
        <v>17289875313.2792</v>
      </c>
      <c r="Q28" s="6" t="n">
        <v>8566.104</v>
      </c>
      <c r="R28" s="6" t="n">
        <v>1.794</v>
      </c>
      <c r="S28" s="6" t="n">
        <v>5.712</v>
      </c>
      <c r="T28" s="7" t="b">
        <f aca="false">TRUE()</f>
        <v>1</v>
      </c>
      <c r="U28" s="7" t="b">
        <f aca="false">TRUE()</f>
        <v>1</v>
      </c>
      <c r="V28" s="7" t="b">
        <f aca="false">TRUE()</f>
        <v>1</v>
      </c>
      <c r="W28" s="8" t="b">
        <f aca="false">TRUE()</f>
        <v>1</v>
      </c>
    </row>
    <row r="29" customFormat="false" ht="15" hidden="false" customHeight="true" outlineLevel="0" collapsed="false">
      <c r="A29" s="6" t="s">
        <v>67</v>
      </c>
      <c r="B29" s="6" t="n">
        <v>0</v>
      </c>
      <c r="C29" s="6" t="s">
        <v>60</v>
      </c>
      <c r="D29" s="6" t="n">
        <v>58.8711457796747</v>
      </c>
      <c r="E29" s="6" t="n">
        <v>20.91</v>
      </c>
      <c r="F29" s="6" t="n">
        <v>45.27</v>
      </c>
      <c r="G29" s="6" t="n">
        <v>52.4</v>
      </c>
      <c r="H29" s="6" t="n">
        <v>10221</v>
      </c>
      <c r="I29" s="6" t="n">
        <v>23.6</v>
      </c>
      <c r="J29" s="6" t="n">
        <v>0.0025</v>
      </c>
      <c r="K29" s="6" t="n">
        <v>8.839</v>
      </c>
      <c r="L29" s="6" t="n">
        <v>8.672</v>
      </c>
      <c r="M29" s="6" t="n">
        <v>0.137</v>
      </c>
      <c r="N29" s="6" t="n">
        <v>0.03</v>
      </c>
      <c r="O29" s="6" t="n">
        <v>76.94</v>
      </c>
      <c r="P29" s="6" t="n">
        <v>16267595857.963</v>
      </c>
      <c r="Q29" s="6" t="n">
        <v>8012.418</v>
      </c>
      <c r="R29" s="6" t="n">
        <v>1.81</v>
      </c>
      <c r="S29" s="6" t="n">
        <v>4.135</v>
      </c>
      <c r="T29" s="7" t="b">
        <f aca="false">TRUE()</f>
        <v>1</v>
      </c>
      <c r="U29" s="7" t="b">
        <f aca="false">TRUE()</f>
        <v>1</v>
      </c>
      <c r="V29" s="7" t="b">
        <f aca="false">TRUE()</f>
        <v>1</v>
      </c>
      <c r="W29" s="8" t="b">
        <f aca="false">TRUE()</f>
        <v>1</v>
      </c>
    </row>
    <row r="30" customFormat="false" ht="15" hidden="false" customHeight="true" outlineLevel="0" collapsed="false">
      <c r="A30" s="6" t="s">
        <v>67</v>
      </c>
      <c r="B30" s="6" t="n">
        <v>1</v>
      </c>
      <c r="C30" s="6" t="s">
        <v>60</v>
      </c>
      <c r="D30" s="6" t="n">
        <v>58.8711457796747</v>
      </c>
      <c r="E30" s="6" t="n">
        <v>20.91</v>
      </c>
      <c r="F30" s="6" t="n">
        <v>45.27</v>
      </c>
      <c r="G30" s="6" t="n">
        <v>52.4</v>
      </c>
      <c r="H30" s="6" t="n">
        <v>10221</v>
      </c>
      <c r="I30" s="6" t="n">
        <v>23.6</v>
      </c>
      <c r="J30" s="6" t="n">
        <v>0.0025</v>
      </c>
      <c r="K30" s="6" t="n">
        <v>8.839</v>
      </c>
      <c r="L30" s="6" t="n">
        <v>8.672</v>
      </c>
      <c r="M30" s="6" t="n">
        <v>0.137</v>
      </c>
      <c r="N30" s="6" t="n">
        <v>0.03</v>
      </c>
      <c r="O30" s="6" t="n">
        <v>76.94</v>
      </c>
      <c r="P30" s="6" t="n">
        <v>16267595857.963</v>
      </c>
      <c r="Q30" s="6" t="n">
        <v>8012.418</v>
      </c>
      <c r="R30" s="6" t="n">
        <v>1.81</v>
      </c>
      <c r="S30" s="6" t="n">
        <v>4.135</v>
      </c>
      <c r="T30" s="7" t="b">
        <f aca="false">TRUE()</f>
        <v>1</v>
      </c>
      <c r="U30" s="7" t="b">
        <f aca="false">TRUE()</f>
        <v>1</v>
      </c>
      <c r="V30" s="7" t="b">
        <f aca="false">TRUE()</f>
        <v>1</v>
      </c>
      <c r="W30" s="8" t="b">
        <f aca="false">TRUE()</f>
        <v>1</v>
      </c>
    </row>
    <row r="31" customFormat="false" ht="15" hidden="false" customHeight="true" outlineLevel="0" collapsed="false">
      <c r="A31" s="6" t="s">
        <v>67</v>
      </c>
      <c r="B31" s="6" t="n">
        <v>2</v>
      </c>
      <c r="C31" s="6" t="s">
        <v>60</v>
      </c>
      <c r="D31" s="6" t="n">
        <v>58.8711457796747</v>
      </c>
      <c r="E31" s="6" t="n">
        <v>20.91</v>
      </c>
      <c r="F31" s="6" t="n">
        <v>45.27</v>
      </c>
      <c r="G31" s="6" t="n">
        <v>52.4</v>
      </c>
      <c r="H31" s="6" t="n">
        <v>10221</v>
      </c>
      <c r="I31" s="6" t="n">
        <v>23.6</v>
      </c>
      <c r="J31" s="6" t="n">
        <v>0.0025</v>
      </c>
      <c r="K31" s="6" t="n">
        <v>8.839</v>
      </c>
      <c r="L31" s="6" t="n">
        <v>8.672</v>
      </c>
      <c r="M31" s="6" t="n">
        <v>0.137</v>
      </c>
      <c r="N31" s="6" t="n">
        <v>0.03</v>
      </c>
      <c r="O31" s="6" t="n">
        <v>76.94</v>
      </c>
      <c r="P31" s="6" t="n">
        <v>16267595857.963</v>
      </c>
      <c r="Q31" s="6" t="n">
        <v>8012.418</v>
      </c>
      <c r="R31" s="6" t="n">
        <v>1.81</v>
      </c>
      <c r="S31" s="6" t="n">
        <v>4.135</v>
      </c>
      <c r="T31" s="7" t="b">
        <f aca="false">TRUE()</f>
        <v>1</v>
      </c>
      <c r="U31" s="7" t="b">
        <f aca="false">TRUE()</f>
        <v>1</v>
      </c>
      <c r="V31" s="7" t="b">
        <f aca="false">TRUE()</f>
        <v>1</v>
      </c>
      <c r="W31" s="8" t="b">
        <f aca="false">TRUE()</f>
        <v>1</v>
      </c>
    </row>
    <row r="32" customFormat="false" ht="15" hidden="false" customHeight="true" outlineLevel="0" collapsed="false">
      <c r="A32" s="6" t="s">
        <v>68</v>
      </c>
      <c r="B32" s="6" t="n">
        <v>0</v>
      </c>
      <c r="C32" s="6" t="s">
        <v>58</v>
      </c>
      <c r="D32" s="6" t="n">
        <v>699.912510936133</v>
      </c>
      <c r="E32" s="6" t="n">
        <v>30.03</v>
      </c>
      <c r="F32" s="6" t="n">
        <v>60.87</v>
      </c>
      <c r="G32" s="6" t="n">
        <v>62.31</v>
      </c>
      <c r="H32" s="6" t="n">
        <v>10483</v>
      </c>
      <c r="I32" s="6" t="n">
        <v>24.3</v>
      </c>
      <c r="J32" s="6" t="n">
        <v>0.0121</v>
      </c>
      <c r="K32" s="6" t="n">
        <v>9.182</v>
      </c>
      <c r="L32" s="6" t="n">
        <v>9.019</v>
      </c>
      <c r="M32" s="6" t="n">
        <v>0.122</v>
      </c>
      <c r="N32" s="6" t="n">
        <v>0.041</v>
      </c>
      <c r="O32" s="6" t="n">
        <v>77.48</v>
      </c>
      <c r="P32" s="6" t="n">
        <v>3770716877.82852</v>
      </c>
      <c r="Q32" s="6" t="n">
        <v>1656.051</v>
      </c>
      <c r="R32" s="6" t="n">
        <v>1.743</v>
      </c>
      <c r="S32" s="6" t="n">
        <v>3.075</v>
      </c>
      <c r="T32" s="7" t="b">
        <f aca="false">TRUE()</f>
        <v>1</v>
      </c>
      <c r="U32" s="7" t="b">
        <f aca="false">TRUE()</f>
        <v>1</v>
      </c>
      <c r="V32" s="7" t="b">
        <f aca="false">TRUE()</f>
        <v>1</v>
      </c>
      <c r="W32" s="8" t="b">
        <f aca="false">TRUE()</f>
        <v>1</v>
      </c>
    </row>
    <row r="33" customFormat="false" ht="15" hidden="false" customHeight="true" outlineLevel="0" collapsed="false">
      <c r="A33" s="6" t="s">
        <v>68</v>
      </c>
      <c r="B33" s="6" t="n">
        <v>1</v>
      </c>
      <c r="C33" s="6" t="s">
        <v>58</v>
      </c>
      <c r="D33" s="6" t="n">
        <v>699.912510936133</v>
      </c>
      <c r="E33" s="6" t="n">
        <v>30.03</v>
      </c>
      <c r="F33" s="6" t="n">
        <v>60.87</v>
      </c>
      <c r="G33" s="6" t="n">
        <v>62.31</v>
      </c>
      <c r="H33" s="6" t="n">
        <v>10483</v>
      </c>
      <c r="I33" s="6" t="n">
        <v>24.3</v>
      </c>
      <c r="J33" s="6" t="n">
        <v>0.0121</v>
      </c>
      <c r="K33" s="6" t="n">
        <v>9.182</v>
      </c>
      <c r="L33" s="6" t="n">
        <v>9.019</v>
      </c>
      <c r="M33" s="6" t="n">
        <v>0.122</v>
      </c>
      <c r="N33" s="6" t="n">
        <v>0.041</v>
      </c>
      <c r="O33" s="6" t="n">
        <v>77.48</v>
      </c>
      <c r="P33" s="6" t="n">
        <v>3770716877.82852</v>
      </c>
      <c r="Q33" s="6" t="n">
        <v>1656.051</v>
      </c>
      <c r="R33" s="6" t="n">
        <v>1.743</v>
      </c>
      <c r="S33" s="6" t="n">
        <v>3.075</v>
      </c>
      <c r="T33" s="7" t="b">
        <f aca="false">TRUE()</f>
        <v>1</v>
      </c>
      <c r="U33" s="7" t="b">
        <f aca="false">TRUE()</f>
        <v>1</v>
      </c>
      <c r="V33" s="7" t="b">
        <f aca="false">TRUE()</f>
        <v>1</v>
      </c>
      <c r="W33" s="8" t="b">
        <f aca="false">TRUE()</f>
        <v>1</v>
      </c>
    </row>
    <row r="34" customFormat="false" ht="15" hidden="false" customHeight="true" outlineLevel="0" collapsed="false">
      <c r="A34" s="6" t="s">
        <v>68</v>
      </c>
      <c r="B34" s="6" t="n">
        <v>2</v>
      </c>
      <c r="C34" s="6" t="s">
        <v>58</v>
      </c>
      <c r="D34" s="6" t="n">
        <v>699.912510936133</v>
      </c>
      <c r="E34" s="6" t="n">
        <v>30.03</v>
      </c>
      <c r="F34" s="6" t="n">
        <v>60.87</v>
      </c>
      <c r="G34" s="6" t="n">
        <v>62.31</v>
      </c>
      <c r="H34" s="6" t="n">
        <v>10483</v>
      </c>
      <c r="I34" s="6" t="n">
        <v>24.3</v>
      </c>
      <c r="J34" s="6" t="n">
        <v>0.0121</v>
      </c>
      <c r="K34" s="6" t="n">
        <v>9.182</v>
      </c>
      <c r="L34" s="6" t="n">
        <v>9.019</v>
      </c>
      <c r="M34" s="6" t="n">
        <v>0.122</v>
      </c>
      <c r="N34" s="6" t="n">
        <v>0.041</v>
      </c>
      <c r="O34" s="6" t="n">
        <v>77.48</v>
      </c>
      <c r="P34" s="6" t="n">
        <v>3770716877.82852</v>
      </c>
      <c r="Q34" s="6" t="n">
        <v>1656.051</v>
      </c>
      <c r="R34" s="6" t="n">
        <v>1.743</v>
      </c>
      <c r="S34" s="6" t="n">
        <v>3.075</v>
      </c>
      <c r="T34" s="7" t="b">
        <f aca="false">TRUE()</f>
        <v>1</v>
      </c>
      <c r="U34" s="7" t="b">
        <f aca="false">TRUE()</f>
        <v>1</v>
      </c>
      <c r="V34" s="7" t="b">
        <f aca="false">TRUE()</f>
        <v>1</v>
      </c>
      <c r="W34" s="8" t="b">
        <f aca="false">TRUE()</f>
        <v>1</v>
      </c>
    </row>
    <row r="35" customFormat="false" ht="15" hidden="false" customHeight="true" outlineLevel="0" collapsed="false">
      <c r="A35" s="6" t="s">
        <v>69</v>
      </c>
      <c r="B35" s="6" t="n">
        <v>0</v>
      </c>
      <c r="C35" s="6" t="s">
        <v>58</v>
      </c>
      <c r="D35" s="6" t="n">
        <v>114.531138153185</v>
      </c>
      <c r="E35" s="6" t="n">
        <v>36.46</v>
      </c>
      <c r="F35" s="6" t="n">
        <v>60.01</v>
      </c>
      <c r="G35" s="6" t="n">
        <v>59.81</v>
      </c>
      <c r="H35" s="6" t="n">
        <v>10485</v>
      </c>
      <c r="I35" s="6" t="n">
        <v>22.6</v>
      </c>
      <c r="J35" s="6" t="n">
        <v>0.0265</v>
      </c>
      <c r="K35" s="6" t="n">
        <v>11.845</v>
      </c>
      <c r="L35" s="6" t="n">
        <v>11.684</v>
      </c>
      <c r="M35" s="6" t="n">
        <v>0.121</v>
      </c>
      <c r="N35" s="6" t="n">
        <v>0.04</v>
      </c>
      <c r="O35" s="6" t="n">
        <v>81.68</v>
      </c>
      <c r="P35" s="6" t="n">
        <v>1752073092.91843</v>
      </c>
      <c r="Q35" s="6" t="n">
        <v>755.85</v>
      </c>
      <c r="R35" s="6" t="n">
        <v>1.351</v>
      </c>
      <c r="S35" s="6" t="n">
        <v>3.119</v>
      </c>
      <c r="T35" s="7" t="b">
        <f aca="false">TRUE()</f>
        <v>1</v>
      </c>
      <c r="U35" s="7" t="b">
        <f aca="false">TRUE()</f>
        <v>1</v>
      </c>
      <c r="V35" s="7" t="b">
        <f aca="false">TRUE()</f>
        <v>1</v>
      </c>
      <c r="W35" s="8" t="b">
        <f aca="false">TRUE()</f>
        <v>1</v>
      </c>
    </row>
    <row r="36" customFormat="false" ht="15" hidden="false" customHeight="true" outlineLevel="0" collapsed="false">
      <c r="A36" s="6" t="s">
        <v>69</v>
      </c>
      <c r="B36" s="6" t="n">
        <v>1</v>
      </c>
      <c r="C36" s="6" t="s">
        <v>58</v>
      </c>
      <c r="D36" s="6" t="n">
        <v>114.531138153185</v>
      </c>
      <c r="E36" s="6" t="n">
        <v>36.46</v>
      </c>
      <c r="F36" s="6" t="n">
        <v>60.01</v>
      </c>
      <c r="G36" s="6" t="n">
        <v>59.81</v>
      </c>
      <c r="H36" s="6" t="n">
        <v>10485</v>
      </c>
      <c r="I36" s="6" t="n">
        <v>22.6</v>
      </c>
      <c r="J36" s="6" t="n">
        <v>0.0265</v>
      </c>
      <c r="K36" s="6" t="n">
        <v>11.845</v>
      </c>
      <c r="L36" s="6" t="n">
        <v>11.684</v>
      </c>
      <c r="M36" s="6" t="n">
        <v>0.121</v>
      </c>
      <c r="N36" s="6" t="n">
        <v>0.04</v>
      </c>
      <c r="O36" s="6" t="n">
        <v>81.68</v>
      </c>
      <c r="P36" s="6" t="n">
        <v>1752073092.91843</v>
      </c>
      <c r="Q36" s="6" t="n">
        <v>755.85</v>
      </c>
      <c r="R36" s="6" t="n">
        <v>1.351</v>
      </c>
      <c r="S36" s="6" t="n">
        <v>3.119</v>
      </c>
      <c r="T36" s="7" t="b">
        <f aca="false">TRUE()</f>
        <v>1</v>
      </c>
      <c r="U36" s="7" t="b">
        <f aca="false">TRUE()</f>
        <v>1</v>
      </c>
      <c r="V36" s="7" t="b">
        <f aca="false">TRUE()</f>
        <v>1</v>
      </c>
      <c r="W36" s="8" t="b">
        <f aca="false">TRUE()</f>
        <v>1</v>
      </c>
    </row>
    <row r="37" customFormat="false" ht="15" hidden="false" customHeight="true" outlineLevel="0" collapsed="false">
      <c r="A37" s="6" t="s">
        <v>69</v>
      </c>
      <c r="B37" s="6" t="n">
        <v>2</v>
      </c>
      <c r="C37" s="6" t="s">
        <v>58</v>
      </c>
      <c r="D37" s="6" t="n">
        <v>114.531138153185</v>
      </c>
      <c r="E37" s="6" t="n">
        <v>36.46</v>
      </c>
      <c r="F37" s="6" t="n">
        <v>60.01</v>
      </c>
      <c r="G37" s="6" t="n">
        <v>59.81</v>
      </c>
      <c r="H37" s="6" t="n">
        <v>10485</v>
      </c>
      <c r="I37" s="6" t="n">
        <v>22.6</v>
      </c>
      <c r="J37" s="6" t="n">
        <v>0.0265</v>
      </c>
      <c r="K37" s="6" t="n">
        <v>11.845</v>
      </c>
      <c r="L37" s="6" t="n">
        <v>11.684</v>
      </c>
      <c r="M37" s="6" t="n">
        <v>0.121</v>
      </c>
      <c r="N37" s="6" t="n">
        <v>0.04</v>
      </c>
      <c r="O37" s="6" t="n">
        <v>81.68</v>
      </c>
      <c r="P37" s="6" t="n">
        <v>1752073092.91843</v>
      </c>
      <c r="Q37" s="6" t="n">
        <v>755.85</v>
      </c>
      <c r="R37" s="6" t="n">
        <v>1.351</v>
      </c>
      <c r="S37" s="6" t="n">
        <v>3.119</v>
      </c>
      <c r="T37" s="7" t="b">
        <f aca="false">TRUE()</f>
        <v>1</v>
      </c>
      <c r="U37" s="7" t="b">
        <f aca="false">TRUE()</f>
        <v>1</v>
      </c>
      <c r="V37" s="7" t="b">
        <f aca="false">TRUE()</f>
        <v>1</v>
      </c>
      <c r="W37" s="8" t="b">
        <f aca="false">TRUE()</f>
        <v>1</v>
      </c>
    </row>
    <row r="38" customFormat="false" ht="15" hidden="false" customHeight="true" outlineLevel="0" collapsed="false">
      <c r="A38" s="6" t="s">
        <v>70</v>
      </c>
      <c r="B38" s="6" t="n">
        <v>0</v>
      </c>
      <c r="C38" s="6" t="s">
        <v>60</v>
      </c>
      <c r="D38" s="6" t="n">
        <v>99.9875015623047</v>
      </c>
      <c r="E38" s="6" t="n">
        <v>20.8</v>
      </c>
      <c r="F38" s="6" t="n">
        <v>37.1</v>
      </c>
      <c r="G38" s="6" t="n">
        <v>52.62</v>
      </c>
      <c r="H38" s="6" t="n">
        <v>10227</v>
      </c>
      <c r="I38" s="6" t="n">
        <v>23.4</v>
      </c>
      <c r="J38" s="6" t="n">
        <v>0.0024</v>
      </c>
      <c r="K38" s="6" t="n">
        <v>9.121</v>
      </c>
      <c r="L38" s="6" t="n">
        <v>8.985</v>
      </c>
      <c r="M38" s="6" t="n">
        <v>0.112</v>
      </c>
      <c r="N38" s="6" t="n">
        <v>0.025</v>
      </c>
      <c r="O38" s="6" t="n">
        <v>77.38</v>
      </c>
      <c r="P38" s="6" t="n">
        <v>16597022178.8939</v>
      </c>
      <c r="Q38" s="6" t="n">
        <v>8222.101</v>
      </c>
      <c r="R38" s="6" t="n">
        <v>1.754</v>
      </c>
      <c r="S38" s="6" t="n">
        <v>5.045</v>
      </c>
      <c r="T38" s="7" t="b">
        <f aca="false">TRUE()</f>
        <v>1</v>
      </c>
      <c r="U38" s="7" t="b">
        <f aca="false">TRUE()</f>
        <v>1</v>
      </c>
      <c r="V38" s="7" t="b">
        <f aca="false">TRUE()</f>
        <v>1</v>
      </c>
      <c r="W38" s="8" t="b">
        <f aca="false">TRUE()</f>
        <v>1</v>
      </c>
    </row>
    <row r="39" customFormat="false" ht="15" hidden="false" customHeight="true" outlineLevel="0" collapsed="false">
      <c r="A39" s="6" t="s">
        <v>70</v>
      </c>
      <c r="B39" s="6" t="n">
        <v>1</v>
      </c>
      <c r="C39" s="6" t="s">
        <v>60</v>
      </c>
      <c r="D39" s="6" t="n">
        <v>99.9875015623047</v>
      </c>
      <c r="E39" s="6" t="n">
        <v>20.8</v>
      </c>
      <c r="F39" s="6" t="n">
        <v>37.1</v>
      </c>
      <c r="G39" s="6" t="n">
        <v>52.62</v>
      </c>
      <c r="H39" s="6" t="n">
        <v>10227</v>
      </c>
      <c r="I39" s="6" t="n">
        <v>23.4</v>
      </c>
      <c r="J39" s="6" t="n">
        <v>0.0024</v>
      </c>
      <c r="K39" s="6" t="n">
        <v>9.121</v>
      </c>
      <c r="L39" s="6" t="n">
        <v>8.985</v>
      </c>
      <c r="M39" s="6" t="n">
        <v>0.112</v>
      </c>
      <c r="N39" s="6" t="n">
        <v>0.025</v>
      </c>
      <c r="O39" s="6" t="n">
        <v>77.38</v>
      </c>
      <c r="P39" s="6" t="n">
        <v>16597022178.8939</v>
      </c>
      <c r="Q39" s="6" t="n">
        <v>8222.101</v>
      </c>
      <c r="R39" s="6" t="n">
        <v>1.754</v>
      </c>
      <c r="S39" s="6" t="n">
        <v>5.045</v>
      </c>
      <c r="T39" s="7" t="b">
        <f aca="false">TRUE()</f>
        <v>1</v>
      </c>
      <c r="U39" s="7" t="b">
        <f aca="false">TRUE()</f>
        <v>1</v>
      </c>
      <c r="V39" s="7" t="b">
        <f aca="false">TRUE()</f>
        <v>1</v>
      </c>
      <c r="W39" s="8" t="b">
        <f aca="false">TRUE()</f>
        <v>1</v>
      </c>
    </row>
    <row r="40" customFormat="false" ht="15" hidden="false" customHeight="true" outlineLevel="0" collapsed="false">
      <c r="A40" s="6" t="s">
        <v>70</v>
      </c>
      <c r="B40" s="6" t="n">
        <v>2</v>
      </c>
      <c r="C40" s="6" t="s">
        <v>60</v>
      </c>
      <c r="D40" s="6" t="n">
        <v>99.9875015623047</v>
      </c>
      <c r="E40" s="6" t="n">
        <v>20.8</v>
      </c>
      <c r="F40" s="6" t="n">
        <v>37.1</v>
      </c>
      <c r="G40" s="6" t="n">
        <v>52.62</v>
      </c>
      <c r="H40" s="6" t="n">
        <v>10227</v>
      </c>
      <c r="I40" s="6" t="n">
        <v>23.4</v>
      </c>
      <c r="J40" s="6" t="n">
        <v>0.0024</v>
      </c>
      <c r="K40" s="6" t="n">
        <v>9.121</v>
      </c>
      <c r="L40" s="6" t="n">
        <v>8.985</v>
      </c>
      <c r="M40" s="6" t="n">
        <v>0.112</v>
      </c>
      <c r="N40" s="6" t="n">
        <v>0.025</v>
      </c>
      <c r="O40" s="6" t="n">
        <v>77.38</v>
      </c>
      <c r="P40" s="6" t="n">
        <v>16597022178.8939</v>
      </c>
      <c r="Q40" s="6" t="n">
        <v>8222.101</v>
      </c>
      <c r="R40" s="6" t="n">
        <v>1.754</v>
      </c>
      <c r="S40" s="6" t="n">
        <v>5.045</v>
      </c>
      <c r="T40" s="7" t="b">
        <f aca="false">TRUE()</f>
        <v>1</v>
      </c>
      <c r="U40" s="7" t="b">
        <f aca="false">TRUE()</f>
        <v>1</v>
      </c>
      <c r="V40" s="7" t="b">
        <f aca="false">TRUE()</f>
        <v>1</v>
      </c>
      <c r="W40" s="8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5"/>
    <col collapsed="false" customWidth="true" hidden="false" outlineLevel="0" max="5" min="3" style="1" width="12"/>
    <col collapsed="false" customWidth="true" hidden="false" outlineLevel="0" max="6" min="6" style="1" width="13"/>
    <col collapsed="false" customWidth="true" hidden="false" outlineLevel="0" max="9" min="7" style="1" width="12"/>
    <col collapsed="false" customWidth="true" hidden="false" outlineLevel="0" max="10" min="10" style="1" width="20"/>
  </cols>
  <sheetData>
    <row r="1" customFormat="false" ht="15.75" hidden="false" customHeight="true" outlineLevel="0" collapsed="false">
      <c r="A1" s="2" t="s">
        <v>73</v>
      </c>
    </row>
    <row r="3" customFormat="false" ht="15" hidden="false" customHeight="true" outlineLevel="0" collapsed="false">
      <c r="A3" s="5" t="s">
        <v>74</v>
      </c>
      <c r="B3" s="5" t="s">
        <v>36</v>
      </c>
      <c r="C3" s="5" t="s">
        <v>75</v>
      </c>
      <c r="D3" s="5" t="s">
        <v>76</v>
      </c>
      <c r="E3" s="5" t="s">
        <v>77</v>
      </c>
      <c r="F3" s="5" t="s">
        <v>78</v>
      </c>
      <c r="G3" s="5" t="s">
        <v>79</v>
      </c>
      <c r="H3" s="5" t="s">
        <v>80</v>
      </c>
      <c r="I3" s="5" t="s">
        <v>81</v>
      </c>
      <c r="J3" s="5" t="s">
        <v>82</v>
      </c>
    </row>
    <row r="4" customFormat="false" ht="15" hidden="false" customHeight="true" outlineLevel="0" collapsed="false">
      <c r="A4" s="6" t="s">
        <v>83</v>
      </c>
      <c r="B4" s="6" t="s">
        <v>58</v>
      </c>
      <c r="C4" s="9" t="n">
        <f aca="false">COUNTIF(2_PerRun_default!C5:C40,"flexible")</f>
        <v>18</v>
      </c>
      <c r="D4" s="10" t="n">
        <f aca="false">AVERAGEIF(2_PerRun_default!C5:C40,"flexible",2_PerRun_default!J5:J40)</f>
        <v>0.02475</v>
      </c>
      <c r="E4" s="10" t="n">
        <f aca="false">SUMPRODUCT(MAX((2_PerRun_default!C5:C40="flexible")*2_PerRun_default!J5:J40))</f>
        <v>0.028</v>
      </c>
      <c r="F4" s="11" t="n">
        <f aca="false">AVERAGEIF(2_PerRun_default!C5:C40,"flexible",2_PerRun_default!K5:K40)</f>
        <v>11.4671666666667</v>
      </c>
      <c r="G4" s="11" t="n">
        <f aca="false">SUMPRODUCT(MAX((2_PerRun_default!C5:C40="flexible")*2_PerRun_default!K5:K40))</f>
        <v>13.581</v>
      </c>
      <c r="H4" s="11" t="n">
        <f aca="false">AVERAGEIF(2_PerRun_default!C5:C40,"flexible",2_PerRun_default!O5:O40)</f>
        <v>81.085</v>
      </c>
      <c r="I4" s="11" t="n">
        <f aca="false">SUMPRODUCT(MAX((2_PerRun_default!C5:C40="flexible")*2_PerRun_default!O5:O40))</f>
        <v>84.41</v>
      </c>
      <c r="J4" s="12" t="n">
        <f aca="false">100*COUNTIFS(2_PerRun_default!C5:C40,"flexible",2_PerRun_default!W5:W40,TRUE())/COUNTIF(2_PerRun_default!C5:C40,"flexible")</f>
        <v>100</v>
      </c>
    </row>
    <row r="5" customFormat="false" ht="15" hidden="false" customHeight="true" outlineLevel="0" collapsed="false">
      <c r="A5" s="6" t="s">
        <v>83</v>
      </c>
      <c r="B5" s="6" t="s">
        <v>60</v>
      </c>
      <c r="C5" s="9" t="n">
        <f aca="false">COUNTIF(2_PerRun_default!C5:C40,"semi_rigid")</f>
        <v>18</v>
      </c>
      <c r="D5" s="10" t="n">
        <f aca="false">AVERAGEIF(2_PerRun_default!C5:C40,"semi_rigid",2_PerRun_default!J5:J40)</f>
        <v>0.00236666666666667</v>
      </c>
      <c r="E5" s="10" t="n">
        <f aca="false">SUMPRODUCT(MAX((2_PerRun_default!C5:C40="semi_rigid")*2_PerRun_default!J5:J40))</f>
        <v>0.0025</v>
      </c>
      <c r="F5" s="11" t="n">
        <f aca="false">AVERAGEIF(2_PerRun_default!C5:C40,"semi_rigid",2_PerRun_default!K5:K40)</f>
        <v>8.9865</v>
      </c>
      <c r="G5" s="11" t="n">
        <f aca="false">SUMPRODUCT(MAX((2_PerRun_default!C5:C40="semi_rigid")*2_PerRun_default!K5:K40))</f>
        <v>9.194</v>
      </c>
      <c r="H5" s="11" t="n">
        <f aca="false">AVERAGEIF(2_PerRun_default!C5:C40,"semi_rigid",2_PerRun_default!O5:O40)</f>
        <v>77.17</v>
      </c>
      <c r="I5" s="11" t="n">
        <f aca="false">SUMPRODUCT(MAX((2_PerRun_default!C5:C40="semi_rigid")*2_PerRun_default!O5:O40))</f>
        <v>77.5</v>
      </c>
      <c r="J5" s="12" t="n">
        <f aca="false">100*COUNTIFS(2_PerRun_default!C5:C40,"semi_rigid",2_PerRun_default!W5:W40,TRUE())/COUNTIF(2_PerRun_default!C5:C40,"semi_rigid")</f>
        <v>100</v>
      </c>
    </row>
    <row r="6" customFormat="false" ht="15" hidden="false" customHeight="true" outlineLevel="0" collapsed="false">
      <c r="A6" s="6" t="s">
        <v>84</v>
      </c>
      <c r="B6" s="6" t="s">
        <v>58</v>
      </c>
      <c r="C6" s="9" t="n">
        <f aca="false">COUNTIF(3_PerRun_strict!C5:C40,"flexible")</f>
        <v>18</v>
      </c>
      <c r="D6" s="10" t="n">
        <f aca="false">AVERAGEIF(3_PerRun_strict!C5:C40,"flexible",3_PerRun_strict!J5:J40)</f>
        <v>0.02475</v>
      </c>
      <c r="E6" s="10" t="n">
        <f aca="false">SUMPRODUCT(MAX((3_PerRun_strict!C5:C40="flexible")*3_PerRun_strict!J5:J40))</f>
        <v>0.028</v>
      </c>
      <c r="F6" s="11" t="n">
        <f aca="false">AVERAGEIF(3_PerRun_strict!C5:C40,"flexible",3_PerRun_strict!K5:K40)</f>
        <v>11.4671666666667</v>
      </c>
      <c r="G6" s="11" t="n">
        <f aca="false">SUMPRODUCT(MAX((3_PerRun_strict!C5:C40="flexible")*3_PerRun_strict!K5:K40))</f>
        <v>13.581</v>
      </c>
      <c r="H6" s="11" t="n">
        <f aca="false">AVERAGEIF(3_PerRun_strict!C5:C40,"flexible",3_PerRun_strict!O5:O40)</f>
        <v>81.085</v>
      </c>
      <c r="I6" s="11" t="n">
        <f aca="false">SUMPRODUCT(MAX((3_PerRun_strict!C5:C40="flexible")*3_PerRun_strict!O5:O40))</f>
        <v>84.41</v>
      </c>
      <c r="J6" s="12" t="n">
        <f aca="false">100*COUNTIFS(3_PerRun_strict!C5:C40,"flexible",3_PerRun_strict!W5:W40,TRUE())/COUNTIF(3_PerRun_strict!C5:C40,"flexible")</f>
        <v>100</v>
      </c>
    </row>
    <row r="7" customFormat="false" ht="15" hidden="false" customHeight="true" outlineLevel="0" collapsed="false">
      <c r="A7" s="6" t="s">
        <v>84</v>
      </c>
      <c r="B7" s="6" t="s">
        <v>60</v>
      </c>
      <c r="C7" s="9" t="n">
        <f aca="false">COUNTIF(3_PerRun_strict!C5:C40,"semi_rigid")</f>
        <v>18</v>
      </c>
      <c r="D7" s="10" t="n">
        <f aca="false">AVERAGEIF(3_PerRun_strict!C5:C40,"semi_rigid",3_PerRun_strict!J5:J40)</f>
        <v>0.00236666666666667</v>
      </c>
      <c r="E7" s="10" t="n">
        <f aca="false">SUMPRODUCT(MAX((3_PerRun_strict!C5:C40="semi_rigid")*3_PerRun_strict!J5:J40))</f>
        <v>0.0025</v>
      </c>
      <c r="F7" s="11" t="n">
        <f aca="false">AVERAGEIF(3_PerRun_strict!C5:C40,"semi_rigid",3_PerRun_strict!K5:K40)</f>
        <v>8.9865</v>
      </c>
      <c r="G7" s="11" t="n">
        <f aca="false">SUMPRODUCT(MAX((3_PerRun_strict!C5:C40="semi_rigid")*3_PerRun_strict!K5:K40))</f>
        <v>9.194</v>
      </c>
      <c r="H7" s="11" t="n">
        <f aca="false">AVERAGEIF(3_PerRun_strict!C5:C40,"semi_rigid",3_PerRun_strict!O5:O40)</f>
        <v>77.17</v>
      </c>
      <c r="I7" s="11" t="n">
        <f aca="false">SUMPRODUCT(MAX((3_PerRun_strict!C5:C40="semi_rigid")*3_PerRun_strict!O5:O40))</f>
        <v>77.5</v>
      </c>
      <c r="J7" s="12" t="n">
        <f aca="false">100*COUNTIFS(3_PerRun_strict!C5:C40,"semi_rigid",3_PerRun_strict!W5:W40,TRUE())/COUNTIF(3_PerRun_strict!C5:C40,"semi_rigid")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6"/>
    <col collapsed="false" customWidth="true" hidden="false" outlineLevel="0" max="3" min="3" style="1" width="58"/>
  </cols>
  <sheetData>
    <row r="1" customFormat="false" ht="15.75" hidden="false" customHeight="true" outlineLevel="0" collapsed="false">
      <c r="A1" s="2" t="s">
        <v>85</v>
      </c>
    </row>
    <row r="3" customFormat="false" ht="15" hidden="false" customHeight="true" outlineLevel="0" collapsed="false">
      <c r="A3" s="13" t="s">
        <v>86</v>
      </c>
      <c r="B3" s="13" t="s">
        <v>87</v>
      </c>
      <c r="C3" s="13" t="s">
        <v>88</v>
      </c>
    </row>
    <row r="4" customFormat="false" ht="15" hidden="false" customHeight="true" outlineLevel="0" collapsed="false">
      <c r="A4" s="14" t="s">
        <v>89</v>
      </c>
      <c r="B4" s="15" t="s">
        <v>90</v>
      </c>
      <c r="C4" s="15" t="s">
        <v>91</v>
      </c>
    </row>
    <row r="5" customFormat="false" ht="15" hidden="false" customHeight="true" outlineLevel="0" collapsed="false">
      <c r="A5" s="14" t="s">
        <v>92</v>
      </c>
      <c r="B5" s="15" t="s">
        <v>93</v>
      </c>
      <c r="C5" s="15" t="s">
        <v>94</v>
      </c>
    </row>
    <row r="6" customFormat="false" ht="15" hidden="false" customHeight="true" outlineLevel="0" collapsed="false">
      <c r="A6" s="14" t="s">
        <v>95</v>
      </c>
      <c r="B6" s="15" t="s">
        <v>96</v>
      </c>
      <c r="C6" s="15" t="s">
        <v>97</v>
      </c>
    </row>
    <row r="7" customFormat="false" ht="15" hidden="false" customHeight="true" outlineLevel="0" collapsed="false">
      <c r="A7" s="14" t="s">
        <v>98</v>
      </c>
      <c r="B7" s="15" t="s">
        <v>99</v>
      </c>
      <c r="C7" s="15" t="s">
        <v>100</v>
      </c>
    </row>
    <row r="8" customFormat="false" ht="23.25" hidden="false" customHeight="true" outlineLevel="0" collapsed="false">
      <c r="A8" s="14" t="s">
        <v>101</v>
      </c>
      <c r="B8" s="15" t="s">
        <v>102</v>
      </c>
      <c r="C8" s="15" t="s">
        <v>103</v>
      </c>
    </row>
    <row r="9" customFormat="false" ht="15" hidden="false" customHeight="true" outlineLevel="0" collapsed="false">
      <c r="A9" s="14" t="s">
        <v>104</v>
      </c>
      <c r="B9" s="15" t="s">
        <v>105</v>
      </c>
      <c r="C9" s="15" t="s">
        <v>106</v>
      </c>
    </row>
    <row r="10" customFormat="false" ht="15" hidden="false" customHeight="true" outlineLevel="0" collapsed="false">
      <c r="A10" s="14" t="s">
        <v>107</v>
      </c>
      <c r="B10" s="15" t="s">
        <v>108</v>
      </c>
      <c r="C10" s="15" t="s">
        <v>109</v>
      </c>
    </row>
    <row r="11" customFormat="false" ht="23.25" hidden="false" customHeight="true" outlineLevel="0" collapsed="false">
      <c r="A11" s="14" t="s">
        <v>110</v>
      </c>
      <c r="B11" s="15" t="s">
        <v>111</v>
      </c>
      <c r="C11" s="15" t="s">
        <v>112</v>
      </c>
    </row>
    <row r="12" customFormat="false" ht="15" hidden="false" customHeight="true" outlineLevel="0" collapsed="false">
      <c r="A12" s="14" t="s">
        <v>113</v>
      </c>
      <c r="B12" s="15" t="s">
        <v>114</v>
      </c>
      <c r="C12" s="15" t="s">
        <v>115</v>
      </c>
    </row>
    <row r="13" customFormat="false" ht="15" hidden="false" customHeight="true" outlineLevel="0" collapsed="false">
      <c r="A13" s="14" t="s">
        <v>116</v>
      </c>
      <c r="B13" s="15" t="s">
        <v>117</v>
      </c>
      <c r="C13" s="15" t="s">
        <v>118</v>
      </c>
    </row>
    <row r="14" customFormat="false" ht="15" hidden="false" customHeight="true" outlineLevel="0" collapsed="false">
      <c r="A14" s="14" t="s">
        <v>119</v>
      </c>
      <c r="B14" s="15" t="s">
        <v>120</v>
      </c>
      <c r="C14" s="15" t="s">
        <v>121</v>
      </c>
    </row>
    <row r="15" customFormat="false" ht="15" hidden="false" customHeight="true" outlineLevel="0" collapsed="false">
      <c r="A15" s="14" t="s">
        <v>122</v>
      </c>
      <c r="B15" s="15" t="s">
        <v>123</v>
      </c>
      <c r="C15" s="15" t="s">
        <v>124</v>
      </c>
    </row>
    <row r="16" customFormat="false" ht="15" hidden="false" customHeight="true" outlineLevel="0" collapsed="false">
      <c r="A16" s="14" t="s">
        <v>125</v>
      </c>
      <c r="B16" s="15" t="s">
        <v>126</v>
      </c>
      <c r="C16" s="15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2026-05-26T05:07:54Z</dcterms:created>
  <dc:creator>openpyxl</dc:creator>
  <dc:description/>
  <dc:language>en-US</dc:language>
  <cp:lastModifiedBy/>
  <dcterms:modified xsi:type="dcterms:W3CDTF">2026-05-26T05:08:45Z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