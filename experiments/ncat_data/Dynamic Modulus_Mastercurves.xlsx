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yloa3\Box\Test Track 2015_Performance Testing\2) Data Backup_2015 CG\1) CG 2015 AMPT Data_Organized_101520\"/>
    </mc:Choice>
  </mc:AlternateContent>
  <xr:revisionPtr revIDLastSave="0" documentId="13_ncr:1_{4411D3C1-D7BE-4B44-8DB6-4EBEB4F7EA68}" xr6:coauthVersionLast="47" xr6:coauthVersionMax="47" xr10:uidLastSave="{00000000-0000-0000-0000-000000000000}"/>
  <bookViews>
    <workbookView xWindow="-120" yWindow="-120" windowWidth="29040" windowHeight="15720" firstSheet="5" xr2:uid="{B7E47742-FE3A-4A81-A842-C20D7F61BBD1}"/>
  </bookViews>
  <sheets>
    <sheet name="N1-1 RH" sheetId="2" r:id="rId1"/>
    <sheet name="N1-1 CA" sheetId="20" r:id="rId2"/>
    <sheet name="N2-1 RH" sheetId="5" r:id="rId3"/>
    <sheet name="N2-1 CA" sheetId="6" r:id="rId4"/>
    <sheet name="N5-1 RH" sheetId="7" r:id="rId5"/>
    <sheet name="N5-1 CA" sheetId="8" r:id="rId6"/>
    <sheet name="N8-1 RH" sheetId="9" r:id="rId7"/>
    <sheet name="N8-1 CA" sheetId="4" r:id="rId8"/>
    <sheet name="S5-1 RH" sheetId="11" r:id="rId9"/>
    <sheet name="S5-1 CA" sheetId="12" r:id="rId10"/>
    <sheet name="S6-1 RH" sheetId="13" r:id="rId11"/>
    <sheet name="S6-1 CA" sheetId="14" r:id="rId12"/>
    <sheet name="S13-1 RH" sheetId="16" r:id="rId13"/>
    <sheet name="S13-1 CA" sheetId="17" r:id="rId14"/>
    <sheet name="CG Base RH" sheetId="18" r:id="rId15"/>
    <sheet name="CG Base CA" sheetId="19" r:id="rId16"/>
  </sheets>
  <externalReferences>
    <externalReference r:id="rId17"/>
  </externalReferences>
  <definedNames>
    <definedName name="_xlnm.Print_Area" localSheetId="15">'CG Base CA'!$A$1:$L$114</definedName>
    <definedName name="_xlnm.Print_Area" localSheetId="14">'CG Base RH'!$A$1:$L$114</definedName>
    <definedName name="_xlnm.Print_Area" localSheetId="1">'N1-1 CA'!$A$1:$L$114</definedName>
    <definedName name="_xlnm.Print_Area" localSheetId="0">'N1-1 RH'!$A$1:$L$114</definedName>
    <definedName name="_xlnm.Print_Area" localSheetId="3">'N2-1 CA'!$A$1:$L$114</definedName>
    <definedName name="_xlnm.Print_Area" localSheetId="2">'N2-1 RH'!$A$1:$L$114</definedName>
    <definedName name="_xlnm.Print_Area" localSheetId="5">'N5-1 CA'!$A$1:$L$114</definedName>
    <definedName name="_xlnm.Print_Area" localSheetId="4">'N5-1 RH'!$A$1:$L$114</definedName>
    <definedName name="_xlnm.Print_Area" localSheetId="7">'N8-1 CA'!$A$1:$L$114</definedName>
    <definedName name="_xlnm.Print_Area" localSheetId="6">'N8-1 RH'!$A$1:$L$114</definedName>
    <definedName name="_xlnm.Print_Area" localSheetId="13">'S13-1 CA'!$A$1:$L$114</definedName>
    <definedName name="_xlnm.Print_Area" localSheetId="12">'S13-1 RH'!$A$1:$L$114</definedName>
    <definedName name="_xlnm.Print_Area" localSheetId="9">'S5-1 CA'!$A$1:$L$114</definedName>
    <definedName name="_xlnm.Print_Area" localSheetId="8">'S5-1 RH'!$A$1:$L$114</definedName>
    <definedName name="_xlnm.Print_Area" localSheetId="11">'S6-1 CA'!$A$1:$L$114</definedName>
    <definedName name="_xlnm.Print_Area" localSheetId="10">'S6-1 RH'!$A$1:$L$114</definedName>
    <definedName name="solver_adj" localSheetId="15" hidden="1">'CG Base CA'!$N$43:$Q$43</definedName>
    <definedName name="solver_adj" localSheetId="14" hidden="1">'CG Base RH'!$N$43:$Q$43</definedName>
    <definedName name="solver_adj" localSheetId="1" hidden="1">'N1-1 CA'!$N$43:$Q$43</definedName>
    <definedName name="solver_adj" localSheetId="0" hidden="1">'N1-1 RH'!$N$43:$Q$43</definedName>
    <definedName name="solver_adj" localSheetId="3" hidden="1">'N2-1 CA'!$N$43:$Q$43</definedName>
    <definedName name="solver_adj" localSheetId="2" hidden="1">'N2-1 RH'!$N$43:$Q$43</definedName>
    <definedName name="solver_adj" localSheetId="5" hidden="1">'N5-1 CA'!$N$43:$Q$43</definedName>
    <definedName name="solver_adj" localSheetId="4" hidden="1">'N5-1 RH'!$N$43:$Q$43</definedName>
    <definedName name="solver_adj" localSheetId="7" hidden="1">'N8-1 CA'!$N$43:$Q$43</definedName>
    <definedName name="solver_adj" localSheetId="6" hidden="1">'N8-1 RH'!$N$43:$Q$43</definedName>
    <definedName name="solver_adj" localSheetId="13" hidden="1">'S13-1 CA'!$N$43:$Q$43</definedName>
    <definedName name="solver_adj" localSheetId="12" hidden="1">'S13-1 RH'!$N$43:$Q$43</definedName>
    <definedName name="solver_adj" localSheetId="9" hidden="1">'S5-1 CA'!$N$43:$Q$43</definedName>
    <definedName name="solver_adj" localSheetId="8" hidden="1">'S5-1 RH'!$N$43:$Q$43</definedName>
    <definedName name="solver_adj" localSheetId="11" hidden="1">'S6-1 CA'!$N$43:$Q$43</definedName>
    <definedName name="solver_adj" localSheetId="10" hidden="1">'S6-1 RH'!$N$43:$Q$43</definedName>
    <definedName name="solver_cvg" localSheetId="15" hidden="1">0.001</definedName>
    <definedName name="solver_cvg" localSheetId="14" hidden="1">0.001</definedName>
    <definedName name="solver_cvg" localSheetId="1" hidden="1">0.001</definedName>
    <definedName name="solver_cvg" localSheetId="0" hidden="1">0.001</definedName>
    <definedName name="solver_cvg" localSheetId="3" hidden="1">0.001</definedName>
    <definedName name="solver_cvg" localSheetId="2" hidden="1">0.001</definedName>
    <definedName name="solver_cvg" localSheetId="5" hidden="1">0.001</definedName>
    <definedName name="solver_cvg" localSheetId="4" hidden="1">0.001</definedName>
    <definedName name="solver_cvg" localSheetId="7" hidden="1">0.001</definedName>
    <definedName name="solver_cvg" localSheetId="6" hidden="1">0.001</definedName>
    <definedName name="solver_cvg" localSheetId="13" hidden="1">0.001</definedName>
    <definedName name="solver_cvg" localSheetId="12" hidden="1">0.001</definedName>
    <definedName name="solver_cvg" localSheetId="9" hidden="1">0.001</definedName>
    <definedName name="solver_cvg" localSheetId="8" hidden="1">0.001</definedName>
    <definedName name="solver_cvg" localSheetId="11" hidden="1">0.001</definedName>
    <definedName name="solver_cvg" localSheetId="10" hidden="1">0.001</definedName>
    <definedName name="solver_drv" localSheetId="15" hidden="1">1</definedName>
    <definedName name="solver_drv" localSheetId="14" hidden="1">1</definedName>
    <definedName name="solver_drv" localSheetId="1" hidden="1">1</definedName>
    <definedName name="solver_drv" localSheetId="0" hidden="1">1</definedName>
    <definedName name="solver_drv" localSheetId="3" hidden="1">1</definedName>
    <definedName name="solver_drv" localSheetId="2" hidden="1">1</definedName>
    <definedName name="solver_drv" localSheetId="5" hidden="1">1</definedName>
    <definedName name="solver_drv" localSheetId="4" hidden="1">1</definedName>
    <definedName name="solver_drv" localSheetId="7" hidden="1">1</definedName>
    <definedName name="solver_drv" localSheetId="6" hidden="1">1</definedName>
    <definedName name="solver_drv" localSheetId="13" hidden="1">1</definedName>
    <definedName name="solver_drv" localSheetId="12" hidden="1">1</definedName>
    <definedName name="solver_drv" localSheetId="9" hidden="1">1</definedName>
    <definedName name="solver_drv" localSheetId="8" hidden="1">1</definedName>
    <definedName name="solver_drv" localSheetId="11" hidden="1">1</definedName>
    <definedName name="solver_drv" localSheetId="10" hidden="1">1</definedName>
    <definedName name="solver_eng" localSheetId="15" hidden="1">1</definedName>
    <definedName name="solver_eng" localSheetId="14" hidden="1">1</definedName>
    <definedName name="solver_eng" localSheetId="1" hidden="1">1</definedName>
    <definedName name="solver_eng" localSheetId="0" hidden="1">1</definedName>
    <definedName name="solver_eng" localSheetId="3" hidden="1">1</definedName>
    <definedName name="solver_eng" localSheetId="2" hidden="1">1</definedName>
    <definedName name="solver_eng" localSheetId="5" hidden="1">1</definedName>
    <definedName name="solver_eng" localSheetId="4" hidden="1">1</definedName>
    <definedName name="solver_eng" localSheetId="7" hidden="1">1</definedName>
    <definedName name="solver_eng" localSheetId="6" hidden="1">1</definedName>
    <definedName name="solver_eng" localSheetId="13" hidden="1">1</definedName>
    <definedName name="solver_eng" localSheetId="12" hidden="1">1</definedName>
    <definedName name="solver_eng" localSheetId="9" hidden="1">1</definedName>
    <definedName name="solver_eng" localSheetId="8" hidden="1">1</definedName>
    <definedName name="solver_eng" localSheetId="11" hidden="1">1</definedName>
    <definedName name="solver_eng" localSheetId="10" hidden="1">1</definedName>
    <definedName name="solver_est" localSheetId="15" hidden="1">1</definedName>
    <definedName name="solver_est" localSheetId="14" hidden="1">1</definedName>
    <definedName name="solver_est" localSheetId="1" hidden="1">1</definedName>
    <definedName name="solver_est" localSheetId="0" hidden="1">1</definedName>
    <definedName name="solver_est" localSheetId="3" hidden="1">1</definedName>
    <definedName name="solver_est" localSheetId="2" hidden="1">1</definedName>
    <definedName name="solver_est" localSheetId="5" hidden="1">1</definedName>
    <definedName name="solver_est" localSheetId="4" hidden="1">1</definedName>
    <definedName name="solver_est" localSheetId="7" hidden="1">1</definedName>
    <definedName name="solver_est" localSheetId="6" hidden="1">1</definedName>
    <definedName name="solver_est" localSheetId="13" hidden="1">1</definedName>
    <definedName name="solver_est" localSheetId="12" hidden="1">1</definedName>
    <definedName name="solver_est" localSheetId="9" hidden="1">1</definedName>
    <definedName name="solver_est" localSheetId="8" hidden="1">1</definedName>
    <definedName name="solver_est" localSheetId="11" hidden="1">1</definedName>
    <definedName name="solver_est" localSheetId="10" hidden="1">1</definedName>
    <definedName name="solver_itr" localSheetId="15" hidden="1">1000</definedName>
    <definedName name="solver_itr" localSheetId="14" hidden="1">1000</definedName>
    <definedName name="solver_itr" localSheetId="1" hidden="1">1000</definedName>
    <definedName name="solver_itr" localSheetId="0" hidden="1">1000</definedName>
    <definedName name="solver_itr" localSheetId="3" hidden="1">1000</definedName>
    <definedName name="solver_itr" localSheetId="2" hidden="1">1000</definedName>
    <definedName name="solver_itr" localSheetId="5" hidden="1">1000</definedName>
    <definedName name="solver_itr" localSheetId="4" hidden="1">1000</definedName>
    <definedName name="solver_itr" localSheetId="7" hidden="1">1000</definedName>
    <definedName name="solver_itr" localSheetId="6" hidden="1">1000</definedName>
    <definedName name="solver_itr" localSheetId="13" hidden="1">1000</definedName>
    <definedName name="solver_itr" localSheetId="12" hidden="1">1000</definedName>
    <definedName name="solver_itr" localSheetId="9" hidden="1">1000</definedName>
    <definedName name="solver_itr" localSheetId="8" hidden="1">1000</definedName>
    <definedName name="solver_itr" localSheetId="11" hidden="1">1000</definedName>
    <definedName name="solver_itr" localSheetId="10" hidden="1">1000</definedName>
    <definedName name="solver_lhs1" localSheetId="15" hidden="1">'CG Base CA'!$N$43</definedName>
    <definedName name="solver_lhs1" localSheetId="14" hidden="1">'CG Base RH'!$N$43</definedName>
    <definedName name="solver_lhs1" localSheetId="1" hidden="1">'N1-1 CA'!$N$43</definedName>
    <definedName name="solver_lhs1" localSheetId="0" hidden="1">'N1-1 RH'!$N$43</definedName>
    <definedName name="solver_lhs1" localSheetId="3" hidden="1">'N2-1 CA'!$N$43</definedName>
    <definedName name="solver_lhs1" localSheetId="2" hidden="1">'N2-1 RH'!$N$43</definedName>
    <definedName name="solver_lhs1" localSheetId="5" hidden="1">'N5-1 CA'!$N$43</definedName>
    <definedName name="solver_lhs1" localSheetId="4" hidden="1">'N5-1 RH'!$N$43</definedName>
    <definedName name="solver_lhs1" localSheetId="7" hidden="1">'N8-1 CA'!$N$43</definedName>
    <definedName name="solver_lhs1" localSheetId="6" hidden="1">'N8-1 RH'!$N$43</definedName>
    <definedName name="solver_lhs1" localSheetId="13" hidden="1">'S13-1 CA'!$N$43</definedName>
    <definedName name="solver_lhs1" localSheetId="12" hidden="1">'S13-1 RH'!$N$43</definedName>
    <definedName name="solver_lhs1" localSheetId="9" hidden="1">'S5-1 CA'!$N$43</definedName>
    <definedName name="solver_lhs1" localSheetId="8" hidden="1">'S5-1 RH'!$N$43</definedName>
    <definedName name="solver_lhs1" localSheetId="11" hidden="1">'S6-1 CA'!$N$43</definedName>
    <definedName name="solver_lhs1" localSheetId="10" hidden="1">'S6-1 RH'!$N$43</definedName>
    <definedName name="solver_lhs2" localSheetId="15" hidden="1">'CG Base CA'!$N$43</definedName>
    <definedName name="solver_lhs2" localSheetId="14" hidden="1">'CG Base RH'!$N$43</definedName>
    <definedName name="solver_lhs2" localSheetId="1" hidden="1">'N1-1 CA'!$N$43</definedName>
    <definedName name="solver_lhs2" localSheetId="0" hidden="1">'N1-1 RH'!$N$43</definedName>
    <definedName name="solver_lhs2" localSheetId="3" hidden="1">'N2-1 CA'!$N$43</definedName>
    <definedName name="solver_lhs2" localSheetId="2" hidden="1">'N2-1 RH'!$N$43</definedName>
    <definedName name="solver_lhs2" localSheetId="5" hidden="1">'N5-1 CA'!$N$43</definedName>
    <definedName name="solver_lhs2" localSheetId="4" hidden="1">'N5-1 RH'!$N$43</definedName>
    <definedName name="solver_lhs2" localSheetId="7" hidden="1">'N8-1 CA'!$N$43</definedName>
    <definedName name="solver_lhs2" localSheetId="6" hidden="1">'N8-1 RH'!$N$43</definedName>
    <definedName name="solver_lhs2" localSheetId="13" hidden="1">'S13-1 CA'!$N$43</definedName>
    <definedName name="solver_lhs2" localSheetId="12" hidden="1">'S13-1 RH'!$N$43</definedName>
    <definedName name="solver_lhs2" localSheetId="9" hidden="1">'S5-1 CA'!$N$43</definedName>
    <definedName name="solver_lhs2" localSheetId="8" hidden="1">'S5-1 RH'!$N$43</definedName>
    <definedName name="solver_lhs2" localSheetId="11" hidden="1">'S6-1 CA'!$N$43</definedName>
    <definedName name="solver_lhs2" localSheetId="10" hidden="1">'S6-1 RH'!$N$43</definedName>
    <definedName name="solver_lhs3" localSheetId="15" hidden="1">'CG Base CA'!$Q$42</definedName>
    <definedName name="solver_lhs3" localSheetId="14" hidden="1">'CG Base RH'!$Q$42</definedName>
    <definedName name="solver_lhs3" localSheetId="1" hidden="1">'N1-1 CA'!$Q$42</definedName>
    <definedName name="solver_lhs3" localSheetId="0" hidden="1">'N1-1 RH'!$Q$42</definedName>
    <definedName name="solver_lhs3" localSheetId="3" hidden="1">'N2-1 CA'!$Q$42</definedName>
    <definedName name="solver_lhs3" localSheetId="2" hidden="1">'N2-1 RH'!$Q$42</definedName>
    <definedName name="solver_lhs3" localSheetId="5" hidden="1">'N5-1 CA'!$Q$42</definedName>
    <definedName name="solver_lhs3" localSheetId="4" hidden="1">'N5-1 RH'!$Q$42</definedName>
    <definedName name="solver_lhs3" localSheetId="7" hidden="1">'N8-1 CA'!$Q$42</definedName>
    <definedName name="solver_lhs3" localSheetId="6" hidden="1">'N8-1 RH'!$Q$42</definedName>
    <definedName name="solver_lhs3" localSheetId="13" hidden="1">'S13-1 CA'!$Q$42</definedName>
    <definedName name="solver_lhs3" localSheetId="12" hidden="1">'S13-1 RH'!$Q$42</definedName>
    <definedName name="solver_lhs3" localSheetId="9" hidden="1">'S5-1 CA'!$Q$42</definedName>
    <definedName name="solver_lhs3" localSheetId="8" hidden="1">'S5-1 RH'!$Q$42</definedName>
    <definedName name="solver_lhs3" localSheetId="11" hidden="1">'S6-1 CA'!$Q$42</definedName>
    <definedName name="solver_lhs3" localSheetId="10" hidden="1">'S6-1 RH'!$Q$42</definedName>
    <definedName name="solver_mip" localSheetId="15" hidden="1">2147483647</definedName>
    <definedName name="solver_mip" localSheetId="14" hidden="1">2147483647</definedName>
    <definedName name="solver_mip" localSheetId="1" hidden="1">2147483647</definedName>
    <definedName name="solver_mip" localSheetId="0" hidden="1">2147483647</definedName>
    <definedName name="solver_mip" localSheetId="3" hidden="1">2147483647</definedName>
    <definedName name="solver_mip" localSheetId="2" hidden="1">2147483647</definedName>
    <definedName name="solver_mip" localSheetId="5" hidden="1">2147483647</definedName>
    <definedName name="solver_mip" localSheetId="4" hidden="1">2147483647</definedName>
    <definedName name="solver_mip" localSheetId="7" hidden="1">2147483647</definedName>
    <definedName name="solver_mip" localSheetId="6" hidden="1">2147483647</definedName>
    <definedName name="solver_mip" localSheetId="13" hidden="1">2147483647</definedName>
    <definedName name="solver_mip" localSheetId="12" hidden="1">2147483647</definedName>
    <definedName name="solver_mip" localSheetId="9" hidden="1">2147483647</definedName>
    <definedName name="solver_mip" localSheetId="8" hidden="1">2147483647</definedName>
    <definedName name="solver_mip" localSheetId="11" hidden="1">2147483647</definedName>
    <definedName name="solver_mip" localSheetId="10" hidden="1">2147483647</definedName>
    <definedName name="solver_mni" localSheetId="15" hidden="1">30</definedName>
    <definedName name="solver_mni" localSheetId="14" hidden="1">30</definedName>
    <definedName name="solver_mni" localSheetId="1" hidden="1">30</definedName>
    <definedName name="solver_mni" localSheetId="0" hidden="1">30</definedName>
    <definedName name="solver_mni" localSheetId="3" hidden="1">30</definedName>
    <definedName name="solver_mni" localSheetId="2" hidden="1">30</definedName>
    <definedName name="solver_mni" localSheetId="5" hidden="1">30</definedName>
    <definedName name="solver_mni" localSheetId="4" hidden="1">30</definedName>
    <definedName name="solver_mni" localSheetId="7" hidden="1">30</definedName>
    <definedName name="solver_mni" localSheetId="6" hidden="1">30</definedName>
    <definedName name="solver_mni" localSheetId="13" hidden="1">30</definedName>
    <definedName name="solver_mni" localSheetId="12" hidden="1">30</definedName>
    <definedName name="solver_mni" localSheetId="9" hidden="1">30</definedName>
    <definedName name="solver_mni" localSheetId="8" hidden="1">30</definedName>
    <definedName name="solver_mni" localSheetId="11" hidden="1">30</definedName>
    <definedName name="solver_mni" localSheetId="10" hidden="1">30</definedName>
    <definedName name="solver_mrt" localSheetId="15" hidden="1">0.075</definedName>
    <definedName name="solver_mrt" localSheetId="14" hidden="1">0.075</definedName>
    <definedName name="solver_mrt" localSheetId="1" hidden="1">0.075</definedName>
    <definedName name="solver_mrt" localSheetId="0" hidden="1">0.075</definedName>
    <definedName name="solver_mrt" localSheetId="3" hidden="1">0.075</definedName>
    <definedName name="solver_mrt" localSheetId="2" hidden="1">0.075</definedName>
    <definedName name="solver_mrt" localSheetId="5" hidden="1">0.075</definedName>
    <definedName name="solver_mrt" localSheetId="4" hidden="1">0.075</definedName>
    <definedName name="solver_mrt" localSheetId="7" hidden="1">0.075</definedName>
    <definedName name="solver_mrt" localSheetId="6" hidden="1">0.075</definedName>
    <definedName name="solver_mrt" localSheetId="13" hidden="1">0.075</definedName>
    <definedName name="solver_mrt" localSheetId="12" hidden="1">0.075</definedName>
    <definedName name="solver_mrt" localSheetId="9" hidden="1">0.075</definedName>
    <definedName name="solver_mrt" localSheetId="8" hidden="1">0.075</definedName>
    <definedName name="solver_mrt" localSheetId="11" hidden="1">0.075</definedName>
    <definedName name="solver_mrt" localSheetId="10" hidden="1">0.075</definedName>
    <definedName name="solver_msl" localSheetId="15" hidden="1">2</definedName>
    <definedName name="solver_msl" localSheetId="14" hidden="1">2</definedName>
    <definedName name="solver_msl" localSheetId="1" hidden="1">2</definedName>
    <definedName name="solver_msl" localSheetId="0" hidden="1">2</definedName>
    <definedName name="solver_msl" localSheetId="3" hidden="1">2</definedName>
    <definedName name="solver_msl" localSheetId="2" hidden="1">2</definedName>
    <definedName name="solver_msl" localSheetId="5" hidden="1">2</definedName>
    <definedName name="solver_msl" localSheetId="4" hidden="1">2</definedName>
    <definedName name="solver_msl" localSheetId="7" hidden="1">2</definedName>
    <definedName name="solver_msl" localSheetId="6" hidden="1">2</definedName>
    <definedName name="solver_msl" localSheetId="13" hidden="1">2</definedName>
    <definedName name="solver_msl" localSheetId="12" hidden="1">2</definedName>
    <definedName name="solver_msl" localSheetId="9" hidden="1">2</definedName>
    <definedName name="solver_msl" localSheetId="8" hidden="1">2</definedName>
    <definedName name="solver_msl" localSheetId="11" hidden="1">2</definedName>
    <definedName name="solver_msl" localSheetId="10" hidden="1">2</definedName>
    <definedName name="solver_neg" localSheetId="15" hidden="1">1</definedName>
    <definedName name="solver_neg" localSheetId="14" hidden="1">1</definedName>
    <definedName name="solver_neg" localSheetId="1" hidden="1">1</definedName>
    <definedName name="solver_neg" localSheetId="0" hidden="1">1</definedName>
    <definedName name="solver_neg" localSheetId="3" hidden="1">1</definedName>
    <definedName name="solver_neg" localSheetId="2" hidden="1">1</definedName>
    <definedName name="solver_neg" localSheetId="5" hidden="1">1</definedName>
    <definedName name="solver_neg" localSheetId="4" hidden="1">1</definedName>
    <definedName name="solver_neg" localSheetId="7" hidden="1">1</definedName>
    <definedName name="solver_neg" localSheetId="6" hidden="1">1</definedName>
    <definedName name="solver_neg" localSheetId="13" hidden="1">1</definedName>
    <definedName name="solver_neg" localSheetId="12" hidden="1">1</definedName>
    <definedName name="solver_neg" localSheetId="9" hidden="1">1</definedName>
    <definedName name="solver_neg" localSheetId="8" hidden="1">1</definedName>
    <definedName name="solver_neg" localSheetId="11" hidden="1">1</definedName>
    <definedName name="solver_neg" localSheetId="10" hidden="1">1</definedName>
    <definedName name="solver_nod" localSheetId="15" hidden="1">2147483647</definedName>
    <definedName name="solver_nod" localSheetId="14" hidden="1">2147483647</definedName>
    <definedName name="solver_nod" localSheetId="1" hidden="1">2147483647</definedName>
    <definedName name="solver_nod" localSheetId="0" hidden="1">2147483647</definedName>
    <definedName name="solver_nod" localSheetId="3" hidden="1">2147483647</definedName>
    <definedName name="solver_nod" localSheetId="2" hidden="1">2147483647</definedName>
    <definedName name="solver_nod" localSheetId="5" hidden="1">2147483647</definedName>
    <definedName name="solver_nod" localSheetId="4" hidden="1">2147483647</definedName>
    <definedName name="solver_nod" localSheetId="7" hidden="1">2147483647</definedName>
    <definedName name="solver_nod" localSheetId="6" hidden="1">2147483647</definedName>
    <definedName name="solver_nod" localSheetId="13" hidden="1">2147483647</definedName>
    <definedName name="solver_nod" localSheetId="12" hidden="1">2147483647</definedName>
    <definedName name="solver_nod" localSheetId="9" hidden="1">2147483647</definedName>
    <definedName name="solver_nod" localSheetId="8" hidden="1">2147483647</definedName>
    <definedName name="solver_nod" localSheetId="11" hidden="1">2147483647</definedName>
    <definedName name="solver_nod" localSheetId="10" hidden="1">2147483647</definedName>
    <definedName name="solver_num" localSheetId="15" hidden="1">2</definedName>
    <definedName name="solver_num" localSheetId="14" hidden="1">2</definedName>
    <definedName name="solver_num" localSheetId="1" hidden="1">2</definedName>
    <definedName name="solver_num" localSheetId="0" hidden="1">2</definedName>
    <definedName name="solver_num" localSheetId="3" hidden="1">2</definedName>
    <definedName name="solver_num" localSheetId="2" hidden="1">2</definedName>
    <definedName name="solver_num" localSheetId="5" hidden="1">2</definedName>
    <definedName name="solver_num" localSheetId="4" hidden="1">2</definedName>
    <definedName name="solver_num" localSheetId="7" hidden="1">2</definedName>
    <definedName name="solver_num" localSheetId="6" hidden="1">2</definedName>
    <definedName name="solver_num" localSheetId="13" hidden="1">2</definedName>
    <definedName name="solver_num" localSheetId="12" hidden="1">2</definedName>
    <definedName name="solver_num" localSheetId="9" hidden="1">2</definedName>
    <definedName name="solver_num" localSheetId="8" hidden="1">2</definedName>
    <definedName name="solver_num" localSheetId="11" hidden="1">2</definedName>
    <definedName name="solver_num" localSheetId="10" hidden="1">2</definedName>
    <definedName name="solver_nwt" localSheetId="15" hidden="1">1</definedName>
    <definedName name="solver_nwt" localSheetId="14" hidden="1">1</definedName>
    <definedName name="solver_nwt" localSheetId="1" hidden="1">1</definedName>
    <definedName name="solver_nwt" localSheetId="0" hidden="1">1</definedName>
    <definedName name="solver_nwt" localSheetId="3" hidden="1">1</definedName>
    <definedName name="solver_nwt" localSheetId="2" hidden="1">1</definedName>
    <definedName name="solver_nwt" localSheetId="5" hidden="1">1</definedName>
    <definedName name="solver_nwt" localSheetId="4" hidden="1">1</definedName>
    <definedName name="solver_nwt" localSheetId="7" hidden="1">1</definedName>
    <definedName name="solver_nwt" localSheetId="6" hidden="1">1</definedName>
    <definedName name="solver_nwt" localSheetId="13" hidden="1">1</definedName>
    <definedName name="solver_nwt" localSheetId="12" hidden="1">1</definedName>
    <definedName name="solver_nwt" localSheetId="9" hidden="1">1</definedName>
    <definedName name="solver_nwt" localSheetId="8" hidden="1">1</definedName>
    <definedName name="solver_nwt" localSheetId="11" hidden="1">1</definedName>
    <definedName name="solver_nwt" localSheetId="10" hidden="1">1</definedName>
    <definedName name="solver_opt" localSheetId="15" hidden="1">'CG Base CA'!$T$37</definedName>
    <definedName name="solver_opt" localSheetId="14" hidden="1">'CG Base RH'!$T$37</definedName>
    <definedName name="solver_opt" localSheetId="1" hidden="1">'N1-1 CA'!$T$38</definedName>
    <definedName name="solver_opt" localSheetId="0" hidden="1">'N1-1 RH'!$T$37</definedName>
    <definedName name="solver_opt" localSheetId="3" hidden="1">'N2-1 CA'!$T$37</definedName>
    <definedName name="solver_opt" localSheetId="2" hidden="1">'N2-1 RH'!$T$37</definedName>
    <definedName name="solver_opt" localSheetId="5" hidden="1">'N5-1 CA'!$T$37</definedName>
    <definedName name="solver_opt" localSheetId="4" hidden="1">'N5-1 RH'!$T$37</definedName>
    <definedName name="solver_opt" localSheetId="7" hidden="1">'N8-1 CA'!$T$38</definedName>
    <definedName name="solver_opt" localSheetId="6" hidden="1">'N8-1 RH'!$T$37</definedName>
    <definedName name="solver_opt" localSheetId="13" hidden="1">'S13-1 CA'!$T$37</definedName>
    <definedName name="solver_opt" localSheetId="12" hidden="1">'S13-1 RH'!$T$37</definedName>
    <definedName name="solver_opt" localSheetId="9" hidden="1">'S5-1 CA'!$T$38</definedName>
    <definedName name="solver_opt" localSheetId="8" hidden="1">'S5-1 RH'!$T$38</definedName>
    <definedName name="solver_opt" localSheetId="11" hidden="1">'S6-1 CA'!$T$38</definedName>
    <definedName name="solver_opt" localSheetId="10" hidden="1">'S6-1 RH'!$T$38</definedName>
    <definedName name="solver_pre" localSheetId="15" hidden="1">0.000001</definedName>
    <definedName name="solver_pre" localSheetId="14" hidden="1">0.000001</definedName>
    <definedName name="solver_pre" localSheetId="1" hidden="1">0.000001</definedName>
    <definedName name="solver_pre" localSheetId="0" hidden="1">0.000001</definedName>
    <definedName name="solver_pre" localSheetId="3" hidden="1">0.000001</definedName>
    <definedName name="solver_pre" localSheetId="2" hidden="1">0.000001</definedName>
    <definedName name="solver_pre" localSheetId="5" hidden="1">0.000001</definedName>
    <definedName name="solver_pre" localSheetId="4" hidden="1">0.000001</definedName>
    <definedName name="solver_pre" localSheetId="7" hidden="1">0.000001</definedName>
    <definedName name="solver_pre" localSheetId="6" hidden="1">0.000001</definedName>
    <definedName name="solver_pre" localSheetId="13" hidden="1">0.000001</definedName>
    <definedName name="solver_pre" localSheetId="12" hidden="1">0.000001</definedName>
    <definedName name="solver_pre" localSheetId="9" hidden="1">0.000001</definedName>
    <definedName name="solver_pre" localSheetId="8" hidden="1">0.000001</definedName>
    <definedName name="solver_pre" localSheetId="11" hidden="1">0.000001</definedName>
    <definedName name="solver_pre" localSheetId="10" hidden="1">0.000001</definedName>
    <definedName name="solver_rbv" localSheetId="15" hidden="1">1</definedName>
    <definedName name="solver_rbv" localSheetId="14" hidden="1">1</definedName>
    <definedName name="solver_rbv" localSheetId="1" hidden="1">1</definedName>
    <definedName name="solver_rbv" localSheetId="0" hidden="1">1</definedName>
    <definedName name="solver_rbv" localSheetId="3" hidden="1">1</definedName>
    <definedName name="solver_rbv" localSheetId="2" hidden="1">1</definedName>
    <definedName name="solver_rbv" localSheetId="5" hidden="1">1</definedName>
    <definedName name="solver_rbv" localSheetId="4" hidden="1">1</definedName>
    <definedName name="solver_rbv" localSheetId="7" hidden="1">1</definedName>
    <definedName name="solver_rbv" localSheetId="6" hidden="1">1</definedName>
    <definedName name="solver_rbv" localSheetId="13" hidden="1">1</definedName>
    <definedName name="solver_rbv" localSheetId="12" hidden="1">1</definedName>
    <definedName name="solver_rbv" localSheetId="9" hidden="1">1</definedName>
    <definedName name="solver_rbv" localSheetId="8" hidden="1">1</definedName>
    <definedName name="solver_rbv" localSheetId="11" hidden="1">1</definedName>
    <definedName name="solver_rbv" localSheetId="10" hidden="1">1</definedName>
    <definedName name="solver_rel1" localSheetId="15" hidden="1">1</definedName>
    <definedName name="solver_rel1" localSheetId="14" hidden="1">1</definedName>
    <definedName name="solver_rel1" localSheetId="1" hidden="1">1</definedName>
    <definedName name="solver_rel1" localSheetId="0" hidden="1">1</definedName>
    <definedName name="solver_rel1" localSheetId="3" hidden="1">1</definedName>
    <definedName name="solver_rel1" localSheetId="2" hidden="1">1</definedName>
    <definedName name="solver_rel1" localSheetId="5" hidden="1">1</definedName>
    <definedName name="solver_rel1" localSheetId="4" hidden="1">1</definedName>
    <definedName name="solver_rel1" localSheetId="7" hidden="1">1</definedName>
    <definedName name="solver_rel1" localSheetId="6" hidden="1">1</definedName>
    <definedName name="solver_rel1" localSheetId="13" hidden="1">1</definedName>
    <definedName name="solver_rel1" localSheetId="12" hidden="1">1</definedName>
    <definedName name="solver_rel1" localSheetId="9" hidden="1">1</definedName>
    <definedName name="solver_rel1" localSheetId="8" hidden="1">1</definedName>
    <definedName name="solver_rel1" localSheetId="11" hidden="1">1</definedName>
    <definedName name="solver_rel1" localSheetId="10" hidden="1">1</definedName>
    <definedName name="solver_rel2" localSheetId="15" hidden="1">3</definedName>
    <definedName name="solver_rel2" localSheetId="14" hidden="1">3</definedName>
    <definedName name="solver_rel2" localSheetId="1" hidden="1">3</definedName>
    <definedName name="solver_rel2" localSheetId="0" hidden="1">3</definedName>
    <definedName name="solver_rel2" localSheetId="3" hidden="1">3</definedName>
    <definedName name="solver_rel2" localSheetId="2" hidden="1">3</definedName>
    <definedName name="solver_rel2" localSheetId="5" hidden="1">3</definedName>
    <definedName name="solver_rel2" localSheetId="4" hidden="1">3</definedName>
    <definedName name="solver_rel2" localSheetId="7" hidden="1">3</definedName>
    <definedName name="solver_rel2" localSheetId="6" hidden="1">3</definedName>
    <definedName name="solver_rel2" localSheetId="13" hidden="1">3</definedName>
    <definedName name="solver_rel2" localSheetId="12" hidden="1">3</definedName>
    <definedName name="solver_rel2" localSheetId="9" hidden="1">3</definedName>
    <definedName name="solver_rel2" localSheetId="8" hidden="1">3</definedName>
    <definedName name="solver_rel2" localSheetId="11" hidden="1">3</definedName>
    <definedName name="solver_rel2" localSheetId="10" hidden="1">3</definedName>
    <definedName name="solver_rel3" localSheetId="15" hidden="1">3</definedName>
    <definedName name="solver_rel3" localSheetId="14" hidden="1">3</definedName>
    <definedName name="solver_rel3" localSheetId="1" hidden="1">3</definedName>
    <definedName name="solver_rel3" localSheetId="0" hidden="1">3</definedName>
    <definedName name="solver_rel3" localSheetId="3" hidden="1">3</definedName>
    <definedName name="solver_rel3" localSheetId="2" hidden="1">3</definedName>
    <definedName name="solver_rel3" localSheetId="5" hidden="1">3</definedName>
    <definedName name="solver_rel3" localSheetId="4" hidden="1">3</definedName>
    <definedName name="solver_rel3" localSheetId="7" hidden="1">3</definedName>
    <definedName name="solver_rel3" localSheetId="6" hidden="1">3</definedName>
    <definedName name="solver_rel3" localSheetId="13" hidden="1">3</definedName>
    <definedName name="solver_rel3" localSheetId="12" hidden="1">3</definedName>
    <definedName name="solver_rel3" localSheetId="9" hidden="1">3</definedName>
    <definedName name="solver_rel3" localSheetId="8" hidden="1">3</definedName>
    <definedName name="solver_rel3" localSheetId="11" hidden="1">3</definedName>
    <definedName name="solver_rel3" localSheetId="10" hidden="1">3</definedName>
    <definedName name="solver_rhs1" localSheetId="15" hidden="1">1.5</definedName>
    <definedName name="solver_rhs1" localSheetId="14" hidden="1">1.5</definedName>
    <definedName name="solver_rhs1" localSheetId="1" hidden="1">1.5</definedName>
    <definedName name="solver_rhs1" localSheetId="0" hidden="1">1.5</definedName>
    <definedName name="solver_rhs1" localSheetId="3" hidden="1">1.5</definedName>
    <definedName name="solver_rhs1" localSheetId="2" hidden="1">1.5</definedName>
    <definedName name="solver_rhs1" localSheetId="5" hidden="1">1.5</definedName>
    <definedName name="solver_rhs1" localSheetId="4" hidden="1">1.5</definedName>
    <definedName name="solver_rhs1" localSheetId="7" hidden="1">1.5</definedName>
    <definedName name="solver_rhs1" localSheetId="6" hidden="1">1.5</definedName>
    <definedName name="solver_rhs1" localSheetId="13" hidden="1">1.5</definedName>
    <definedName name="solver_rhs1" localSheetId="12" hidden="1">1.5</definedName>
    <definedName name="solver_rhs1" localSheetId="9" hidden="1">1.5</definedName>
    <definedName name="solver_rhs1" localSheetId="8" hidden="1">1.5</definedName>
    <definedName name="solver_rhs1" localSheetId="11" hidden="1">1.5</definedName>
    <definedName name="solver_rhs1" localSheetId="10" hidden="1">1.5</definedName>
    <definedName name="solver_rhs2" localSheetId="15" hidden="1">-1.5</definedName>
    <definedName name="solver_rhs2" localSheetId="14" hidden="1">-1.5</definedName>
    <definedName name="solver_rhs2" localSheetId="1" hidden="1">-1.5</definedName>
    <definedName name="solver_rhs2" localSheetId="0" hidden="1">-1.5</definedName>
    <definedName name="solver_rhs2" localSheetId="3" hidden="1">-1.5</definedName>
    <definedName name="solver_rhs2" localSheetId="2" hidden="1">-1.5</definedName>
    <definedName name="solver_rhs2" localSheetId="5" hidden="1">-1.5</definedName>
    <definedName name="solver_rhs2" localSheetId="4" hidden="1">-1.5</definedName>
    <definedName name="solver_rhs2" localSheetId="7" hidden="1">-1.5</definedName>
    <definedName name="solver_rhs2" localSheetId="6" hidden="1">-1.5</definedName>
    <definedName name="solver_rhs2" localSheetId="13" hidden="1">-1.5</definedName>
    <definedName name="solver_rhs2" localSheetId="12" hidden="1">-1.5</definedName>
    <definedName name="solver_rhs2" localSheetId="9" hidden="1">-1.5</definedName>
    <definedName name="solver_rhs2" localSheetId="8" hidden="1">-1.5</definedName>
    <definedName name="solver_rhs2" localSheetId="11" hidden="1">-1.5</definedName>
    <definedName name="solver_rhs2" localSheetId="10" hidden="1">-1.5</definedName>
    <definedName name="solver_rhs3" localSheetId="15" hidden="1">170000</definedName>
    <definedName name="solver_rhs3" localSheetId="14" hidden="1">170000</definedName>
    <definedName name="solver_rhs3" localSheetId="1" hidden="1">170000</definedName>
    <definedName name="solver_rhs3" localSheetId="0" hidden="1">170000</definedName>
    <definedName name="solver_rhs3" localSheetId="3" hidden="1">170000</definedName>
    <definedName name="solver_rhs3" localSheetId="2" hidden="1">170000</definedName>
    <definedName name="solver_rhs3" localSheetId="5" hidden="1">170000</definedName>
    <definedName name="solver_rhs3" localSheetId="4" hidden="1">170000</definedName>
    <definedName name="solver_rhs3" localSheetId="7" hidden="1">170000</definedName>
    <definedName name="solver_rhs3" localSheetId="6" hidden="1">170000</definedName>
    <definedName name="solver_rhs3" localSheetId="13" hidden="1">170000</definedName>
    <definedName name="solver_rhs3" localSheetId="12" hidden="1">170000</definedName>
    <definedName name="solver_rhs3" localSheetId="9" hidden="1">170000</definedName>
    <definedName name="solver_rhs3" localSheetId="8" hidden="1">170000</definedName>
    <definedName name="solver_rhs3" localSheetId="11" hidden="1">170000</definedName>
    <definedName name="solver_rhs3" localSheetId="10" hidden="1">170000</definedName>
    <definedName name="solver_rlx" localSheetId="15" hidden="1">1</definedName>
    <definedName name="solver_rlx" localSheetId="14" hidden="1">1</definedName>
    <definedName name="solver_rlx" localSheetId="1" hidden="1">1</definedName>
    <definedName name="solver_rlx" localSheetId="0" hidden="1">1</definedName>
    <definedName name="solver_rlx" localSheetId="3" hidden="1">1</definedName>
    <definedName name="solver_rlx" localSheetId="2" hidden="1">1</definedName>
    <definedName name="solver_rlx" localSheetId="5" hidden="1">1</definedName>
    <definedName name="solver_rlx" localSheetId="4" hidden="1">1</definedName>
    <definedName name="solver_rlx" localSheetId="7" hidden="1">1</definedName>
    <definedName name="solver_rlx" localSheetId="6" hidden="1">1</definedName>
    <definedName name="solver_rlx" localSheetId="13" hidden="1">1</definedName>
    <definedName name="solver_rlx" localSheetId="12" hidden="1">1</definedName>
    <definedName name="solver_rlx" localSheetId="9" hidden="1">1</definedName>
    <definedName name="solver_rlx" localSheetId="8" hidden="1">1</definedName>
    <definedName name="solver_rlx" localSheetId="11" hidden="1">1</definedName>
    <definedName name="solver_rlx" localSheetId="10" hidden="1">1</definedName>
    <definedName name="solver_rsd" localSheetId="15" hidden="1">0</definedName>
    <definedName name="solver_rsd" localSheetId="14" hidden="1">0</definedName>
    <definedName name="solver_rsd" localSheetId="1" hidden="1">0</definedName>
    <definedName name="solver_rsd" localSheetId="0" hidden="1">0</definedName>
    <definedName name="solver_rsd" localSheetId="3" hidden="1">0</definedName>
    <definedName name="solver_rsd" localSheetId="2" hidden="1">0</definedName>
    <definedName name="solver_rsd" localSheetId="5" hidden="1">0</definedName>
    <definedName name="solver_rsd" localSheetId="4" hidden="1">0</definedName>
    <definedName name="solver_rsd" localSheetId="7" hidden="1">0</definedName>
    <definedName name="solver_rsd" localSheetId="6" hidden="1">0</definedName>
    <definedName name="solver_rsd" localSheetId="13" hidden="1">0</definedName>
    <definedName name="solver_rsd" localSheetId="12" hidden="1">0</definedName>
    <definedName name="solver_rsd" localSheetId="9" hidden="1">0</definedName>
    <definedName name="solver_rsd" localSheetId="8" hidden="1">0</definedName>
    <definedName name="solver_rsd" localSheetId="11" hidden="1">0</definedName>
    <definedName name="solver_rsd" localSheetId="10" hidden="1">0</definedName>
    <definedName name="solver_scl" localSheetId="15" hidden="1">1</definedName>
    <definedName name="solver_scl" localSheetId="14" hidden="1">1</definedName>
    <definedName name="solver_scl" localSheetId="1" hidden="1">1</definedName>
    <definedName name="solver_scl" localSheetId="0" hidden="1">1</definedName>
    <definedName name="solver_scl" localSheetId="3" hidden="1">1</definedName>
    <definedName name="solver_scl" localSheetId="2" hidden="1">1</definedName>
    <definedName name="solver_scl" localSheetId="5" hidden="1">1</definedName>
    <definedName name="solver_scl" localSheetId="4" hidden="1">1</definedName>
    <definedName name="solver_scl" localSheetId="7" hidden="1">1</definedName>
    <definedName name="solver_scl" localSheetId="6" hidden="1">1</definedName>
    <definedName name="solver_scl" localSheetId="13" hidden="1">1</definedName>
    <definedName name="solver_scl" localSheetId="12" hidden="1">1</definedName>
    <definedName name="solver_scl" localSheetId="9" hidden="1">1</definedName>
    <definedName name="solver_scl" localSheetId="8" hidden="1">1</definedName>
    <definedName name="solver_scl" localSheetId="11" hidden="1">1</definedName>
    <definedName name="solver_scl" localSheetId="10" hidden="1">1</definedName>
    <definedName name="solver_sho" localSheetId="15" hidden="1">2</definedName>
    <definedName name="solver_sho" localSheetId="14" hidden="1">2</definedName>
    <definedName name="solver_sho" localSheetId="1" hidden="1">2</definedName>
    <definedName name="solver_sho" localSheetId="0" hidden="1">2</definedName>
    <definedName name="solver_sho" localSheetId="3" hidden="1">2</definedName>
    <definedName name="solver_sho" localSheetId="2" hidden="1">2</definedName>
    <definedName name="solver_sho" localSheetId="5" hidden="1">2</definedName>
    <definedName name="solver_sho" localSheetId="4" hidden="1">2</definedName>
    <definedName name="solver_sho" localSheetId="7" hidden="1">2</definedName>
    <definedName name="solver_sho" localSheetId="6" hidden="1">2</definedName>
    <definedName name="solver_sho" localSheetId="13" hidden="1">2</definedName>
    <definedName name="solver_sho" localSheetId="12" hidden="1">2</definedName>
    <definedName name="solver_sho" localSheetId="9" hidden="1">2</definedName>
    <definedName name="solver_sho" localSheetId="8" hidden="1">2</definedName>
    <definedName name="solver_sho" localSheetId="11" hidden="1">2</definedName>
    <definedName name="solver_sho" localSheetId="10" hidden="1">2</definedName>
    <definedName name="solver_ssz" localSheetId="15" hidden="1">100</definedName>
    <definedName name="solver_ssz" localSheetId="14" hidden="1">100</definedName>
    <definedName name="solver_ssz" localSheetId="1" hidden="1">100</definedName>
    <definedName name="solver_ssz" localSheetId="0" hidden="1">100</definedName>
    <definedName name="solver_ssz" localSheetId="3" hidden="1">100</definedName>
    <definedName name="solver_ssz" localSheetId="2" hidden="1">100</definedName>
    <definedName name="solver_ssz" localSheetId="5" hidden="1">100</definedName>
    <definedName name="solver_ssz" localSheetId="4" hidden="1">100</definedName>
    <definedName name="solver_ssz" localSheetId="7" hidden="1">100</definedName>
    <definedName name="solver_ssz" localSheetId="6" hidden="1">100</definedName>
    <definedName name="solver_ssz" localSheetId="13" hidden="1">100</definedName>
    <definedName name="solver_ssz" localSheetId="12" hidden="1">100</definedName>
    <definedName name="solver_ssz" localSheetId="9" hidden="1">100</definedName>
    <definedName name="solver_ssz" localSheetId="8" hidden="1">100</definedName>
    <definedName name="solver_ssz" localSheetId="11" hidden="1">100</definedName>
    <definedName name="solver_ssz" localSheetId="10" hidden="1">100</definedName>
    <definedName name="solver_tim" localSheetId="15" hidden="1">100</definedName>
    <definedName name="solver_tim" localSheetId="14" hidden="1">100</definedName>
    <definedName name="solver_tim" localSheetId="1" hidden="1">100</definedName>
    <definedName name="solver_tim" localSheetId="0" hidden="1">100</definedName>
    <definedName name="solver_tim" localSheetId="3" hidden="1">100</definedName>
    <definedName name="solver_tim" localSheetId="2" hidden="1">100</definedName>
    <definedName name="solver_tim" localSheetId="5" hidden="1">100</definedName>
    <definedName name="solver_tim" localSheetId="4" hidden="1">100</definedName>
    <definedName name="solver_tim" localSheetId="7" hidden="1">100</definedName>
    <definedName name="solver_tim" localSheetId="6" hidden="1">100</definedName>
    <definedName name="solver_tim" localSheetId="13" hidden="1">100</definedName>
    <definedName name="solver_tim" localSheetId="12" hidden="1">100</definedName>
    <definedName name="solver_tim" localSheetId="9" hidden="1">100</definedName>
    <definedName name="solver_tim" localSheetId="8" hidden="1">100</definedName>
    <definedName name="solver_tim" localSheetId="11" hidden="1">100</definedName>
    <definedName name="solver_tim" localSheetId="10" hidden="1">100</definedName>
    <definedName name="solver_tol" localSheetId="15" hidden="1">0.01</definedName>
    <definedName name="solver_tol" localSheetId="14" hidden="1">0.01</definedName>
    <definedName name="solver_tol" localSheetId="1" hidden="1">0.01</definedName>
    <definedName name="solver_tol" localSheetId="0" hidden="1">0.01</definedName>
    <definedName name="solver_tol" localSheetId="3" hidden="1">0.01</definedName>
    <definedName name="solver_tol" localSheetId="2" hidden="1">0.01</definedName>
    <definedName name="solver_tol" localSheetId="5" hidden="1">0.01</definedName>
    <definedName name="solver_tol" localSheetId="4" hidden="1">0.01</definedName>
    <definedName name="solver_tol" localSheetId="7" hidden="1">0.01</definedName>
    <definedName name="solver_tol" localSheetId="6" hidden="1">0.01</definedName>
    <definedName name="solver_tol" localSheetId="13" hidden="1">0.01</definedName>
    <definedName name="solver_tol" localSheetId="12" hidden="1">0.01</definedName>
    <definedName name="solver_tol" localSheetId="9" hidden="1">0.01</definedName>
    <definedName name="solver_tol" localSheetId="8" hidden="1">0.01</definedName>
    <definedName name="solver_tol" localSheetId="11" hidden="1">0.01</definedName>
    <definedName name="solver_tol" localSheetId="10" hidden="1">0.01</definedName>
    <definedName name="solver_typ" localSheetId="15" hidden="1">2</definedName>
    <definedName name="solver_typ" localSheetId="14" hidden="1">2</definedName>
    <definedName name="solver_typ" localSheetId="1" hidden="1">2</definedName>
    <definedName name="solver_typ" localSheetId="0" hidden="1">2</definedName>
    <definedName name="solver_typ" localSheetId="3" hidden="1">2</definedName>
    <definedName name="solver_typ" localSheetId="2" hidden="1">2</definedName>
    <definedName name="solver_typ" localSheetId="5" hidden="1">2</definedName>
    <definedName name="solver_typ" localSheetId="4" hidden="1">2</definedName>
    <definedName name="solver_typ" localSheetId="7" hidden="1">2</definedName>
    <definedName name="solver_typ" localSheetId="6" hidden="1">2</definedName>
    <definedName name="solver_typ" localSheetId="13" hidden="1">2</definedName>
    <definedName name="solver_typ" localSheetId="12" hidden="1">2</definedName>
    <definedName name="solver_typ" localSheetId="9" hidden="1">2</definedName>
    <definedName name="solver_typ" localSheetId="8" hidden="1">2</definedName>
    <definedName name="solver_typ" localSheetId="11" hidden="1">2</definedName>
    <definedName name="solver_typ" localSheetId="10" hidden="1">2</definedName>
    <definedName name="solver_val" localSheetId="15" hidden="1">0</definedName>
    <definedName name="solver_val" localSheetId="14" hidden="1">0</definedName>
    <definedName name="solver_val" localSheetId="1" hidden="1">0</definedName>
    <definedName name="solver_val" localSheetId="0" hidden="1">0</definedName>
    <definedName name="solver_val" localSheetId="3" hidden="1">0</definedName>
    <definedName name="solver_val" localSheetId="2" hidden="1">0</definedName>
    <definedName name="solver_val" localSheetId="5" hidden="1">0</definedName>
    <definedName name="solver_val" localSheetId="4" hidden="1">0</definedName>
    <definedName name="solver_val" localSheetId="7" hidden="1">0</definedName>
    <definedName name="solver_val" localSheetId="6" hidden="1">0</definedName>
    <definedName name="solver_val" localSheetId="13" hidden="1">0</definedName>
    <definedName name="solver_val" localSheetId="12" hidden="1">0</definedName>
    <definedName name="solver_val" localSheetId="9" hidden="1">0</definedName>
    <definedName name="solver_val" localSheetId="8" hidden="1">0</definedName>
    <definedName name="solver_val" localSheetId="11" hidden="1">0</definedName>
    <definedName name="solver_val" localSheetId="10" hidden="1">0</definedName>
    <definedName name="solver_ver" localSheetId="15" hidden="1">3</definedName>
    <definedName name="solver_ver" localSheetId="14" hidden="1">3</definedName>
    <definedName name="solver_ver" localSheetId="1" hidden="1">3</definedName>
    <definedName name="solver_ver" localSheetId="0" hidden="1">3</definedName>
    <definedName name="solver_ver" localSheetId="3" hidden="1">3</definedName>
    <definedName name="solver_ver" localSheetId="2" hidden="1">3</definedName>
    <definedName name="solver_ver" localSheetId="5" hidden="1">3</definedName>
    <definedName name="solver_ver" localSheetId="4" hidden="1">3</definedName>
    <definedName name="solver_ver" localSheetId="7" hidden="1">3</definedName>
    <definedName name="solver_ver" localSheetId="6" hidden="1">3</definedName>
    <definedName name="solver_ver" localSheetId="13" hidden="1">3</definedName>
    <definedName name="solver_ver" localSheetId="12" hidden="1">3</definedName>
    <definedName name="solver_ver" localSheetId="9" hidden="1">3</definedName>
    <definedName name="solver_ver" localSheetId="8" hidden="1">3</definedName>
    <definedName name="solver_ver" localSheetId="11" hidden="1">3</definedName>
    <definedName name="solver_ver" localSheetId="1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5" i="20" l="1"/>
  <c r="B81" i="20"/>
  <c r="F47" i="20"/>
  <c r="E47" i="20"/>
  <c r="P34" i="20" s="1"/>
  <c r="C47" i="20"/>
  <c r="D47" i="20" s="1"/>
  <c r="B47" i="20"/>
  <c r="A47" i="20"/>
  <c r="F46" i="20"/>
  <c r="E46" i="20"/>
  <c r="P35" i="20" s="1"/>
  <c r="C46" i="20"/>
  <c r="O35" i="20" s="1"/>
  <c r="Q35" i="20" s="1"/>
  <c r="B46" i="20"/>
  <c r="A46" i="20"/>
  <c r="F45" i="20"/>
  <c r="E45" i="20"/>
  <c r="P36" i="20" s="1"/>
  <c r="C45" i="20"/>
  <c r="D45" i="20" s="1"/>
  <c r="B45" i="20"/>
  <c r="A45" i="20"/>
  <c r="F44" i="20"/>
  <c r="E44" i="20"/>
  <c r="C44" i="20"/>
  <c r="D44" i="20" s="1"/>
  <c r="B44" i="20"/>
  <c r="A44" i="20"/>
  <c r="F43" i="20"/>
  <c r="E43" i="20"/>
  <c r="P31" i="20" s="1"/>
  <c r="C43" i="20"/>
  <c r="D43" i="20" s="1"/>
  <c r="B43" i="20"/>
  <c r="A43" i="20"/>
  <c r="Q42" i="20"/>
  <c r="U29" i="20" s="1"/>
  <c r="P42" i="20"/>
  <c r="D51" i="20" s="1"/>
  <c r="O42" i="20"/>
  <c r="C51" i="20" s="1"/>
  <c r="N42" i="20"/>
  <c r="F42" i="20"/>
  <c r="E42" i="20"/>
  <c r="J41" i="20" s="1"/>
  <c r="C42" i="20"/>
  <c r="O32" i="20" s="1"/>
  <c r="Q32" i="20" s="1"/>
  <c r="B42" i="20"/>
  <c r="A42" i="20"/>
  <c r="F41" i="20"/>
  <c r="E41" i="20"/>
  <c r="C41" i="20"/>
  <c r="D41" i="20" s="1"/>
  <c r="B41" i="20"/>
  <c r="A41" i="20"/>
  <c r="F40" i="20"/>
  <c r="E40" i="20"/>
  <c r="P28" i="20" s="1"/>
  <c r="C40" i="20"/>
  <c r="O28" i="20" s="1"/>
  <c r="Q28" i="20" s="1"/>
  <c r="B40" i="20"/>
  <c r="A40" i="20"/>
  <c r="F39" i="20"/>
  <c r="E39" i="20"/>
  <c r="P29" i="20" s="1"/>
  <c r="C39" i="20"/>
  <c r="D39" i="20" s="1"/>
  <c r="B39" i="20"/>
  <c r="A39" i="20"/>
  <c r="F38" i="20"/>
  <c r="E38" i="20"/>
  <c r="P30" i="20" s="1"/>
  <c r="C38" i="20"/>
  <c r="O30" i="20" s="1"/>
  <c r="Q30" i="20" s="1"/>
  <c r="B38" i="20"/>
  <c r="A38" i="20"/>
  <c r="P37" i="20"/>
  <c r="O37" i="20"/>
  <c r="Q37" i="20" s="1"/>
  <c r="N37" i="20"/>
  <c r="M37" i="20"/>
  <c r="O36" i="20"/>
  <c r="Q36" i="20" s="1"/>
  <c r="N36" i="20"/>
  <c r="M36" i="20"/>
  <c r="N35" i="20"/>
  <c r="M35" i="20"/>
  <c r="O34" i="20"/>
  <c r="Q34" i="20" s="1"/>
  <c r="N34" i="20"/>
  <c r="M34" i="20"/>
  <c r="P33" i="20"/>
  <c r="O33" i="20"/>
  <c r="Q33" i="20" s="1"/>
  <c r="N33" i="20"/>
  <c r="M33" i="20"/>
  <c r="N32" i="20"/>
  <c r="M32" i="20"/>
  <c r="O31" i="20"/>
  <c r="Q31" i="20" s="1"/>
  <c r="N31" i="20"/>
  <c r="M31" i="20"/>
  <c r="N30" i="20"/>
  <c r="M30" i="20"/>
  <c r="N29" i="20"/>
  <c r="M29" i="20"/>
  <c r="N28" i="20"/>
  <c r="M28" i="20"/>
  <c r="Q17" i="20"/>
  <c r="R17" i="20" s="1"/>
  <c r="P17" i="20"/>
  <c r="O17" i="20"/>
  <c r="N17" i="20"/>
  <c r="M17" i="20"/>
  <c r="Q16" i="20"/>
  <c r="P16" i="20"/>
  <c r="O16" i="20"/>
  <c r="N16" i="20"/>
  <c r="M16" i="20"/>
  <c r="Q15" i="20"/>
  <c r="P15" i="20"/>
  <c r="O15" i="20"/>
  <c r="N15" i="20"/>
  <c r="M15" i="20"/>
  <c r="B115" i="19"/>
  <c r="B81" i="19"/>
  <c r="F46" i="19"/>
  <c r="E46" i="19"/>
  <c r="C46" i="19"/>
  <c r="D46" i="19" s="1"/>
  <c r="B46" i="19"/>
  <c r="A46" i="19"/>
  <c r="F45" i="19"/>
  <c r="E45" i="19"/>
  <c r="P35" i="19" s="1"/>
  <c r="C45" i="19"/>
  <c r="D45" i="19" s="1"/>
  <c r="B45" i="19"/>
  <c r="A45" i="19"/>
  <c r="F44" i="19"/>
  <c r="E44" i="19"/>
  <c r="C44" i="19"/>
  <c r="D44" i="19" s="1"/>
  <c r="B44" i="19"/>
  <c r="A44" i="19"/>
  <c r="F43" i="19"/>
  <c r="E43" i="19"/>
  <c r="P31" i="19" s="1"/>
  <c r="C43" i="19"/>
  <c r="D43" i="19" s="1"/>
  <c r="B43" i="19"/>
  <c r="A43" i="19"/>
  <c r="Q42" i="19"/>
  <c r="U28" i="19" s="1"/>
  <c r="V28" i="19" s="1"/>
  <c r="W28" i="19" s="1"/>
  <c r="P42" i="19"/>
  <c r="D51" i="19" s="1"/>
  <c r="O42" i="19"/>
  <c r="C51" i="19" s="1"/>
  <c r="N42" i="19"/>
  <c r="B51" i="19" s="1"/>
  <c r="F42" i="19"/>
  <c r="E42" i="19"/>
  <c r="C42" i="19"/>
  <c r="D42" i="19" s="1"/>
  <c r="B42" i="19"/>
  <c r="A42" i="19"/>
  <c r="F41" i="19"/>
  <c r="E41" i="19"/>
  <c r="P33" i="19" s="1"/>
  <c r="C41" i="19"/>
  <c r="O33" i="19" s="1"/>
  <c r="Q33" i="19" s="1"/>
  <c r="B41" i="19"/>
  <c r="A41" i="19"/>
  <c r="F40" i="19"/>
  <c r="E40" i="19"/>
  <c r="P28" i="19" s="1"/>
  <c r="C40" i="19"/>
  <c r="D40" i="19" s="1"/>
  <c r="B40" i="19"/>
  <c r="A40" i="19"/>
  <c r="F39" i="19"/>
  <c r="E39" i="19"/>
  <c r="P29" i="19" s="1"/>
  <c r="C39" i="19"/>
  <c r="O29" i="19" s="1"/>
  <c r="Q29" i="19" s="1"/>
  <c r="B39" i="19"/>
  <c r="A39" i="19"/>
  <c r="F38" i="19"/>
  <c r="E38" i="19"/>
  <c r="P30" i="19" s="1"/>
  <c r="D38" i="19"/>
  <c r="C38" i="19"/>
  <c r="B38" i="19"/>
  <c r="A38" i="19"/>
  <c r="P36" i="19"/>
  <c r="N36" i="19"/>
  <c r="M36" i="19"/>
  <c r="N35" i="19"/>
  <c r="M35" i="19"/>
  <c r="P34" i="19"/>
  <c r="N34" i="19"/>
  <c r="M34" i="19"/>
  <c r="N33" i="19"/>
  <c r="M33" i="19"/>
  <c r="P32" i="19"/>
  <c r="N32" i="19"/>
  <c r="M32" i="19"/>
  <c r="O31" i="19"/>
  <c r="Q31" i="19" s="1"/>
  <c r="N31" i="19"/>
  <c r="M31" i="19"/>
  <c r="O30" i="19"/>
  <c r="Q30" i="19" s="1"/>
  <c r="N30" i="19"/>
  <c r="M30" i="19"/>
  <c r="N29" i="19"/>
  <c r="M29" i="19"/>
  <c r="O28" i="19"/>
  <c r="Q28" i="19" s="1"/>
  <c r="N28" i="19"/>
  <c r="M28" i="19"/>
  <c r="Q17" i="19"/>
  <c r="P17" i="19"/>
  <c r="O17" i="19"/>
  <c r="N17" i="19"/>
  <c r="M17" i="19"/>
  <c r="Q16" i="19"/>
  <c r="R16" i="19" s="1"/>
  <c r="S16" i="19" s="1"/>
  <c r="T16" i="19" s="1"/>
  <c r="P16" i="19"/>
  <c r="O16" i="19"/>
  <c r="N16" i="19"/>
  <c r="M16" i="19"/>
  <c r="Q15" i="19"/>
  <c r="R15" i="19" s="1"/>
  <c r="S15" i="19" s="1"/>
  <c r="P15" i="19"/>
  <c r="O15" i="19"/>
  <c r="N15" i="19"/>
  <c r="M15" i="19"/>
  <c r="B115" i="18"/>
  <c r="B81" i="18"/>
  <c r="F46" i="18"/>
  <c r="E46" i="18"/>
  <c r="C46" i="18"/>
  <c r="D46" i="18" s="1"/>
  <c r="B46" i="18"/>
  <c r="A46" i="18"/>
  <c r="F45" i="18"/>
  <c r="E45" i="18"/>
  <c r="P35" i="18" s="1"/>
  <c r="C45" i="18"/>
  <c r="D45" i="18" s="1"/>
  <c r="B45" i="18"/>
  <c r="A45" i="18"/>
  <c r="F44" i="18"/>
  <c r="E44" i="18"/>
  <c r="P36" i="18" s="1"/>
  <c r="C44" i="18"/>
  <c r="D44" i="18" s="1"/>
  <c r="B44" i="18"/>
  <c r="A44" i="18"/>
  <c r="F43" i="18"/>
  <c r="E43" i="18"/>
  <c r="C43" i="18"/>
  <c r="D43" i="18" s="1"/>
  <c r="B43" i="18"/>
  <c r="A43" i="18"/>
  <c r="Q42" i="18"/>
  <c r="U28" i="18" s="1"/>
  <c r="V28" i="18" s="1"/>
  <c r="W28" i="18" s="1"/>
  <c r="P42" i="18"/>
  <c r="D51" i="18" s="1"/>
  <c r="O42" i="18"/>
  <c r="C51" i="18" s="1"/>
  <c r="N42" i="18"/>
  <c r="F42" i="18"/>
  <c r="E42" i="18"/>
  <c r="D42" i="18"/>
  <c r="C42" i="18"/>
  <c r="B42" i="18"/>
  <c r="A42" i="18"/>
  <c r="F41" i="18"/>
  <c r="E41" i="18"/>
  <c r="P33" i="18" s="1"/>
  <c r="D41" i="18"/>
  <c r="C41" i="18"/>
  <c r="O33" i="18" s="1"/>
  <c r="Q33" i="18" s="1"/>
  <c r="B41" i="18"/>
  <c r="A41" i="18"/>
  <c r="F40" i="18"/>
  <c r="E40" i="18"/>
  <c r="P28" i="18" s="1"/>
  <c r="D40" i="18"/>
  <c r="C40" i="18"/>
  <c r="B40" i="18"/>
  <c r="A40" i="18"/>
  <c r="F39" i="18"/>
  <c r="E39" i="18"/>
  <c r="P29" i="18" s="1"/>
  <c r="C39" i="18"/>
  <c r="O29" i="18" s="1"/>
  <c r="Q29" i="18" s="1"/>
  <c r="B39" i="18"/>
  <c r="A39" i="18"/>
  <c r="F38" i="18"/>
  <c r="E38" i="18"/>
  <c r="D38" i="18"/>
  <c r="C38" i="18"/>
  <c r="B38" i="18"/>
  <c r="A38" i="18"/>
  <c r="O36" i="18"/>
  <c r="Q36" i="18" s="1"/>
  <c r="N36" i="18"/>
  <c r="M36" i="18"/>
  <c r="N35" i="18"/>
  <c r="M35" i="18"/>
  <c r="P34" i="18"/>
  <c r="N34" i="18"/>
  <c r="M34" i="18"/>
  <c r="N33" i="18"/>
  <c r="M33" i="18"/>
  <c r="Q32" i="18"/>
  <c r="P32" i="18"/>
  <c r="O32" i="18"/>
  <c r="N32" i="18"/>
  <c r="M32" i="18"/>
  <c r="P31" i="18"/>
  <c r="N31" i="18"/>
  <c r="M31" i="18"/>
  <c r="P30" i="18"/>
  <c r="O30" i="18"/>
  <c r="Q30" i="18" s="1"/>
  <c r="N30" i="18"/>
  <c r="M30" i="18"/>
  <c r="N29" i="18"/>
  <c r="M29" i="18"/>
  <c r="O28" i="18"/>
  <c r="Q28" i="18" s="1"/>
  <c r="N28" i="18"/>
  <c r="M28" i="18"/>
  <c r="Q17" i="18"/>
  <c r="P17" i="18"/>
  <c r="O17" i="18"/>
  <c r="N17" i="18"/>
  <c r="M17" i="18"/>
  <c r="Q16" i="18"/>
  <c r="P16" i="18"/>
  <c r="O16" i="18"/>
  <c r="N16" i="18"/>
  <c r="M16" i="18"/>
  <c r="Q15" i="18"/>
  <c r="P15" i="18"/>
  <c r="O15" i="18"/>
  <c r="N15" i="18"/>
  <c r="M15" i="18"/>
  <c r="B115" i="17"/>
  <c r="B81" i="17"/>
  <c r="F46" i="17"/>
  <c r="E46" i="17"/>
  <c r="P34" i="17" s="1"/>
  <c r="C46" i="17"/>
  <c r="D46" i="17" s="1"/>
  <c r="B46" i="17"/>
  <c r="A46" i="17"/>
  <c r="F45" i="17"/>
  <c r="E45" i="17"/>
  <c r="P35" i="17" s="1"/>
  <c r="C45" i="17"/>
  <c r="D45" i="17" s="1"/>
  <c r="B45" i="17"/>
  <c r="A45" i="17"/>
  <c r="F44" i="17"/>
  <c r="E44" i="17"/>
  <c r="P36" i="17" s="1"/>
  <c r="C44" i="17"/>
  <c r="D44" i="17" s="1"/>
  <c r="B44" i="17"/>
  <c r="A44" i="17"/>
  <c r="F43" i="17"/>
  <c r="E43" i="17"/>
  <c r="P31" i="17" s="1"/>
  <c r="C43" i="17"/>
  <c r="D43" i="17" s="1"/>
  <c r="B43" i="17"/>
  <c r="A43" i="17"/>
  <c r="Q42" i="17"/>
  <c r="U28" i="17" s="1"/>
  <c r="V28" i="17" s="1"/>
  <c r="W28" i="17" s="1"/>
  <c r="P42" i="17"/>
  <c r="D51" i="17" s="1"/>
  <c r="O42" i="17"/>
  <c r="C51" i="17" s="1"/>
  <c r="N42" i="17"/>
  <c r="B51" i="17" s="1"/>
  <c r="F42" i="17"/>
  <c r="E42" i="17"/>
  <c r="C42" i="17"/>
  <c r="D42" i="17" s="1"/>
  <c r="B42" i="17"/>
  <c r="A42" i="17"/>
  <c r="F41" i="17"/>
  <c r="E41" i="17"/>
  <c r="P33" i="17" s="1"/>
  <c r="C41" i="17"/>
  <c r="O33" i="17" s="1"/>
  <c r="Q33" i="17" s="1"/>
  <c r="B41" i="17"/>
  <c r="A41" i="17"/>
  <c r="F40" i="17"/>
  <c r="E40" i="17"/>
  <c r="P28" i="17" s="1"/>
  <c r="D40" i="17"/>
  <c r="C40" i="17"/>
  <c r="O28" i="17" s="1"/>
  <c r="Q28" i="17" s="1"/>
  <c r="B40" i="17"/>
  <c r="A40" i="17"/>
  <c r="F39" i="17"/>
  <c r="E39" i="17"/>
  <c r="P29" i="17" s="1"/>
  <c r="C39" i="17"/>
  <c r="D39" i="17" s="1"/>
  <c r="B39" i="17"/>
  <c r="A39" i="17"/>
  <c r="F38" i="17"/>
  <c r="E38" i="17"/>
  <c r="P30" i="17" s="1"/>
  <c r="C38" i="17"/>
  <c r="D38" i="17" s="1"/>
  <c r="B38" i="17"/>
  <c r="A38" i="17"/>
  <c r="N36" i="17"/>
  <c r="M36" i="17"/>
  <c r="N35" i="17"/>
  <c r="M35" i="17"/>
  <c r="N34" i="17"/>
  <c r="M34" i="17"/>
  <c r="N33" i="17"/>
  <c r="M33" i="17"/>
  <c r="P32" i="17"/>
  <c r="O32" i="17"/>
  <c r="Q32" i="17" s="1"/>
  <c r="N32" i="17"/>
  <c r="M32" i="17"/>
  <c r="N31" i="17"/>
  <c r="M31" i="17"/>
  <c r="N30" i="17"/>
  <c r="M30" i="17"/>
  <c r="N29" i="17"/>
  <c r="M29" i="17"/>
  <c r="N28" i="17"/>
  <c r="M28" i="17"/>
  <c r="Q17" i="17"/>
  <c r="P17" i="17"/>
  <c r="O17" i="17"/>
  <c r="N17" i="17"/>
  <c r="M17" i="17"/>
  <c r="Q16" i="17"/>
  <c r="R16" i="17" s="1"/>
  <c r="S16" i="17" s="1"/>
  <c r="T16" i="17" s="1"/>
  <c r="P16" i="17"/>
  <c r="O16" i="17"/>
  <c r="N16" i="17"/>
  <c r="M16" i="17"/>
  <c r="Q15" i="17"/>
  <c r="P15" i="17"/>
  <c r="O15" i="17"/>
  <c r="N15" i="17"/>
  <c r="M15" i="17"/>
  <c r="B115" i="16"/>
  <c r="B81" i="16"/>
  <c r="F46" i="16"/>
  <c r="E46" i="16"/>
  <c r="P34" i="16" s="1"/>
  <c r="C46" i="16"/>
  <c r="D46" i="16" s="1"/>
  <c r="B46" i="16"/>
  <c r="A46" i="16"/>
  <c r="F45" i="16"/>
  <c r="E45" i="16"/>
  <c r="P35" i="16" s="1"/>
  <c r="C45" i="16"/>
  <c r="D45" i="16" s="1"/>
  <c r="B45" i="16"/>
  <c r="A45" i="16"/>
  <c r="F44" i="16"/>
  <c r="E44" i="16"/>
  <c r="P36" i="16" s="1"/>
  <c r="C44" i="16"/>
  <c r="D44" i="16" s="1"/>
  <c r="B44" i="16"/>
  <c r="A44" i="16"/>
  <c r="F43" i="16"/>
  <c r="E43" i="16"/>
  <c r="P31" i="16" s="1"/>
  <c r="C43" i="16"/>
  <c r="O31" i="16" s="1"/>
  <c r="Q31" i="16" s="1"/>
  <c r="B43" i="16"/>
  <c r="A43" i="16"/>
  <c r="Q42" i="16"/>
  <c r="U28" i="16" s="1"/>
  <c r="V28" i="16" s="1"/>
  <c r="W28" i="16" s="1"/>
  <c r="P42" i="16"/>
  <c r="D51" i="16" s="1"/>
  <c r="O42" i="16"/>
  <c r="C51" i="16" s="1"/>
  <c r="N42" i="16"/>
  <c r="F42" i="16"/>
  <c r="E42" i="16"/>
  <c r="C42" i="16"/>
  <c r="D42" i="16" s="1"/>
  <c r="B42" i="16"/>
  <c r="A42" i="16"/>
  <c r="F41" i="16"/>
  <c r="E41" i="16"/>
  <c r="J41" i="16" s="1"/>
  <c r="D41" i="16"/>
  <c r="C41" i="16"/>
  <c r="B41" i="16"/>
  <c r="A41" i="16"/>
  <c r="F40" i="16"/>
  <c r="E40" i="16"/>
  <c r="P28" i="16" s="1"/>
  <c r="C40" i="16"/>
  <c r="D40" i="16" s="1"/>
  <c r="B40" i="16"/>
  <c r="A40" i="16"/>
  <c r="F39" i="16"/>
  <c r="E39" i="16"/>
  <c r="P29" i="16" s="1"/>
  <c r="C39" i="16"/>
  <c r="O29" i="16" s="1"/>
  <c r="Q29" i="16" s="1"/>
  <c r="B39" i="16"/>
  <c r="A39" i="16"/>
  <c r="F38" i="16"/>
  <c r="E38" i="16"/>
  <c r="P30" i="16" s="1"/>
  <c r="C38" i="16"/>
  <c r="D38" i="16" s="1"/>
  <c r="B38" i="16"/>
  <c r="A38" i="16"/>
  <c r="O36" i="16"/>
  <c r="Q36" i="16" s="1"/>
  <c r="N36" i="16"/>
  <c r="M36" i="16"/>
  <c r="N35" i="16"/>
  <c r="M35" i="16"/>
  <c r="N34" i="16"/>
  <c r="M34" i="16"/>
  <c r="O33" i="16"/>
  <c r="Q33" i="16" s="1"/>
  <c r="N33" i="16"/>
  <c r="M33" i="16"/>
  <c r="P32" i="16"/>
  <c r="N32" i="16"/>
  <c r="M32" i="16"/>
  <c r="N31" i="16"/>
  <c r="M31" i="16"/>
  <c r="O30" i="16"/>
  <c r="Q30" i="16" s="1"/>
  <c r="N30" i="16"/>
  <c r="M30" i="16"/>
  <c r="N29" i="16"/>
  <c r="M29" i="16"/>
  <c r="N28" i="16"/>
  <c r="M28" i="16"/>
  <c r="Q17" i="16"/>
  <c r="P17" i="16"/>
  <c r="O17" i="16"/>
  <c r="N17" i="16"/>
  <c r="M17" i="16"/>
  <c r="Q16" i="16"/>
  <c r="R16" i="16" s="1"/>
  <c r="S16" i="16" s="1"/>
  <c r="T16" i="16" s="1"/>
  <c r="P16" i="16"/>
  <c r="O16" i="16"/>
  <c r="N16" i="16"/>
  <c r="M16" i="16"/>
  <c r="Q15" i="16"/>
  <c r="P15" i="16"/>
  <c r="O15" i="16"/>
  <c r="N15" i="16"/>
  <c r="M15" i="16"/>
  <c r="B115" i="14"/>
  <c r="B81" i="14"/>
  <c r="F47" i="14"/>
  <c r="E47" i="14"/>
  <c r="C47" i="14"/>
  <c r="O34" i="14" s="1"/>
  <c r="Q34" i="14" s="1"/>
  <c r="B47" i="14"/>
  <c r="A47" i="14"/>
  <c r="F46" i="14"/>
  <c r="E46" i="14"/>
  <c r="P35" i="14" s="1"/>
  <c r="C46" i="14"/>
  <c r="O35" i="14" s="1"/>
  <c r="Q35" i="14" s="1"/>
  <c r="B46" i="14"/>
  <c r="A46" i="14"/>
  <c r="F45" i="14"/>
  <c r="E45" i="14"/>
  <c r="P36" i="14" s="1"/>
  <c r="C45" i="14"/>
  <c r="D45" i="14" s="1"/>
  <c r="B45" i="14"/>
  <c r="A45" i="14"/>
  <c r="F44" i="14"/>
  <c r="E44" i="14"/>
  <c r="C44" i="14"/>
  <c r="D44" i="14" s="1"/>
  <c r="B44" i="14"/>
  <c r="A44" i="14"/>
  <c r="F43" i="14"/>
  <c r="E43" i="14"/>
  <c r="P31" i="14" s="1"/>
  <c r="D43" i="14"/>
  <c r="C43" i="14"/>
  <c r="B43" i="14"/>
  <c r="A43" i="14"/>
  <c r="Q42" i="14"/>
  <c r="E51" i="14" s="1"/>
  <c r="P42" i="14"/>
  <c r="D51" i="14" s="1"/>
  <c r="O42" i="14"/>
  <c r="C51" i="14" s="1"/>
  <c r="N42" i="14"/>
  <c r="F42" i="14"/>
  <c r="E42" i="14"/>
  <c r="C42" i="14"/>
  <c r="O32" i="14" s="1"/>
  <c r="Q32" i="14" s="1"/>
  <c r="B42" i="14"/>
  <c r="A42" i="14"/>
  <c r="F41" i="14"/>
  <c r="E41" i="14"/>
  <c r="P33" i="14" s="1"/>
  <c r="C41" i="14"/>
  <c r="D41" i="14" s="1"/>
  <c r="B41" i="14"/>
  <c r="A41" i="14"/>
  <c r="F40" i="14"/>
  <c r="E40" i="14"/>
  <c r="P28" i="14" s="1"/>
  <c r="C40" i="14"/>
  <c r="O28" i="14" s="1"/>
  <c r="Q28" i="14" s="1"/>
  <c r="B40" i="14"/>
  <c r="A40" i="14"/>
  <c r="F39" i="14"/>
  <c r="E39" i="14"/>
  <c r="P29" i="14" s="1"/>
  <c r="C39" i="14"/>
  <c r="O29" i="14" s="1"/>
  <c r="Q29" i="14" s="1"/>
  <c r="B39" i="14"/>
  <c r="A39" i="14"/>
  <c r="F38" i="14"/>
  <c r="E38" i="14"/>
  <c r="P30" i="14" s="1"/>
  <c r="C38" i="14"/>
  <c r="O30" i="14" s="1"/>
  <c r="Q30" i="14" s="1"/>
  <c r="B38" i="14"/>
  <c r="A38" i="14"/>
  <c r="P37" i="14"/>
  <c r="O37" i="14"/>
  <c r="Q37" i="14" s="1"/>
  <c r="N37" i="14"/>
  <c r="M37" i="14"/>
  <c r="N36" i="14"/>
  <c r="M36" i="14"/>
  <c r="U36" i="14" s="1"/>
  <c r="U35" i="14"/>
  <c r="V35" i="14" s="1"/>
  <c r="W35" i="14" s="1"/>
  <c r="N35" i="14"/>
  <c r="M35" i="14"/>
  <c r="U34" i="14"/>
  <c r="V34" i="14" s="1"/>
  <c r="W34" i="14" s="1"/>
  <c r="P34" i="14"/>
  <c r="N34" i="14"/>
  <c r="M34" i="14"/>
  <c r="O33" i="14"/>
  <c r="Q33" i="14" s="1"/>
  <c r="N33" i="14"/>
  <c r="M33" i="14"/>
  <c r="N32" i="14"/>
  <c r="M32" i="14"/>
  <c r="O31" i="14"/>
  <c r="Q31" i="14" s="1"/>
  <c r="N31" i="14"/>
  <c r="M31" i="14"/>
  <c r="U31" i="14" s="1"/>
  <c r="V31" i="14" s="1"/>
  <c r="W31" i="14" s="1"/>
  <c r="U30" i="14"/>
  <c r="V30" i="14" s="1"/>
  <c r="W30" i="14" s="1"/>
  <c r="N30" i="14"/>
  <c r="M30" i="14"/>
  <c r="U29" i="14"/>
  <c r="N29" i="14"/>
  <c r="M29" i="14"/>
  <c r="N28" i="14"/>
  <c r="M28" i="14"/>
  <c r="Q17" i="14"/>
  <c r="R17" i="14" s="1"/>
  <c r="S17" i="14" s="1"/>
  <c r="T17" i="14" s="1"/>
  <c r="P17" i="14"/>
  <c r="O17" i="14"/>
  <c r="N17" i="14"/>
  <c r="M17" i="14"/>
  <c r="Q16" i="14"/>
  <c r="R16" i="14" s="1"/>
  <c r="S16" i="14" s="1"/>
  <c r="T16" i="14" s="1"/>
  <c r="P16" i="14"/>
  <c r="O16" i="14"/>
  <c r="N16" i="14"/>
  <c r="M16" i="14"/>
  <c r="Q15" i="14"/>
  <c r="P15" i="14"/>
  <c r="O15" i="14"/>
  <c r="N15" i="14"/>
  <c r="M15" i="14"/>
  <c r="B115" i="13"/>
  <c r="B81" i="13"/>
  <c r="F47" i="13"/>
  <c r="E47" i="13"/>
  <c r="P34" i="13" s="1"/>
  <c r="C47" i="13"/>
  <c r="O34" i="13" s="1"/>
  <c r="Q34" i="13" s="1"/>
  <c r="B47" i="13"/>
  <c r="A47" i="13"/>
  <c r="F46" i="13"/>
  <c r="E46" i="13"/>
  <c r="C46" i="13"/>
  <c r="O35" i="13" s="1"/>
  <c r="Q35" i="13" s="1"/>
  <c r="B46" i="13"/>
  <c r="A46" i="13"/>
  <c r="F45" i="13"/>
  <c r="E45" i="13"/>
  <c r="P36" i="13" s="1"/>
  <c r="D45" i="13"/>
  <c r="C45" i="13"/>
  <c r="B45" i="13"/>
  <c r="A45" i="13"/>
  <c r="F44" i="13"/>
  <c r="E44" i="13"/>
  <c r="P37" i="13" s="1"/>
  <c r="C44" i="13"/>
  <c r="D44" i="13" s="1"/>
  <c r="B44" i="13"/>
  <c r="A44" i="13"/>
  <c r="F43" i="13"/>
  <c r="E43" i="13"/>
  <c r="P31" i="13" s="1"/>
  <c r="D43" i="13"/>
  <c r="C43" i="13"/>
  <c r="B43" i="13"/>
  <c r="A43" i="13"/>
  <c r="Q42" i="13"/>
  <c r="U37" i="13" s="1"/>
  <c r="V37" i="13" s="1"/>
  <c r="W37" i="13" s="1"/>
  <c r="P42" i="13"/>
  <c r="D51" i="13" s="1"/>
  <c r="O42" i="13"/>
  <c r="C51" i="13" s="1"/>
  <c r="N42" i="13"/>
  <c r="B51" i="13" s="1"/>
  <c r="F42" i="13"/>
  <c r="E42" i="13"/>
  <c r="J41" i="13" s="1"/>
  <c r="C42" i="13"/>
  <c r="O32" i="13" s="1"/>
  <c r="Q32" i="13" s="1"/>
  <c r="B42" i="13"/>
  <c r="A42" i="13"/>
  <c r="F41" i="13"/>
  <c r="E41" i="13"/>
  <c r="P33" i="13" s="1"/>
  <c r="C41" i="13"/>
  <c r="D41" i="13" s="1"/>
  <c r="B41" i="13"/>
  <c r="A41" i="13"/>
  <c r="F40" i="13"/>
  <c r="E40" i="13"/>
  <c r="P28" i="13" s="1"/>
  <c r="C40" i="13"/>
  <c r="D40" i="13" s="1"/>
  <c r="B40" i="13"/>
  <c r="A40" i="13"/>
  <c r="F39" i="13"/>
  <c r="E39" i="13"/>
  <c r="C39" i="13"/>
  <c r="D39" i="13" s="1"/>
  <c r="B39" i="13"/>
  <c r="A39" i="13"/>
  <c r="F38" i="13"/>
  <c r="E38" i="13"/>
  <c r="P30" i="13" s="1"/>
  <c r="C38" i="13"/>
  <c r="O30" i="13" s="1"/>
  <c r="Q30" i="13" s="1"/>
  <c r="B38" i="13"/>
  <c r="A38" i="13"/>
  <c r="N37" i="13"/>
  <c r="M37" i="13"/>
  <c r="O36" i="13"/>
  <c r="Q36" i="13" s="1"/>
  <c r="N36" i="13"/>
  <c r="M36" i="13"/>
  <c r="P35" i="13"/>
  <c r="N35" i="13"/>
  <c r="M35" i="13"/>
  <c r="N34" i="13"/>
  <c r="M34" i="13"/>
  <c r="O33" i="13"/>
  <c r="Q33" i="13" s="1"/>
  <c r="N33" i="13"/>
  <c r="M33" i="13"/>
  <c r="N32" i="13"/>
  <c r="M32" i="13"/>
  <c r="O31" i="13"/>
  <c r="Q31" i="13" s="1"/>
  <c r="N31" i="13"/>
  <c r="M31" i="13"/>
  <c r="N30" i="13"/>
  <c r="M30" i="13"/>
  <c r="P29" i="13"/>
  <c r="O29" i="13"/>
  <c r="Q29" i="13" s="1"/>
  <c r="N29" i="13"/>
  <c r="M29" i="13"/>
  <c r="N28" i="13"/>
  <c r="M28" i="13"/>
  <c r="Q17" i="13"/>
  <c r="P17" i="13"/>
  <c r="O17" i="13"/>
  <c r="N17" i="13"/>
  <c r="M17" i="13"/>
  <c r="Q16" i="13"/>
  <c r="P16" i="13"/>
  <c r="O16" i="13"/>
  <c r="N16" i="13"/>
  <c r="M16" i="13"/>
  <c r="Q15" i="13"/>
  <c r="P15" i="13"/>
  <c r="O15" i="13"/>
  <c r="N15" i="13"/>
  <c r="M15" i="13"/>
  <c r="B115" i="12"/>
  <c r="B81" i="12"/>
  <c r="F47" i="12"/>
  <c r="E47" i="12"/>
  <c r="C47" i="12"/>
  <c r="D47" i="12" s="1"/>
  <c r="B47" i="12"/>
  <c r="A47" i="12"/>
  <c r="F46" i="12"/>
  <c r="E46" i="12"/>
  <c r="C46" i="12"/>
  <c r="D46" i="12" s="1"/>
  <c r="B46" i="12"/>
  <c r="A46" i="12"/>
  <c r="F45" i="12"/>
  <c r="E45" i="12"/>
  <c r="P36" i="12" s="1"/>
  <c r="D45" i="12"/>
  <c r="C45" i="12"/>
  <c r="B45" i="12"/>
  <c r="A45" i="12"/>
  <c r="F44" i="12"/>
  <c r="E44" i="12"/>
  <c r="C44" i="12"/>
  <c r="D44" i="12" s="1"/>
  <c r="B44" i="12"/>
  <c r="A44" i="12"/>
  <c r="F43" i="12"/>
  <c r="E43" i="12"/>
  <c r="P31" i="12" s="1"/>
  <c r="C43" i="12"/>
  <c r="D43" i="12" s="1"/>
  <c r="B43" i="12"/>
  <c r="A43" i="12"/>
  <c r="Q42" i="12"/>
  <c r="U35" i="12" s="1"/>
  <c r="V35" i="12" s="1"/>
  <c r="W35" i="12" s="1"/>
  <c r="P42" i="12"/>
  <c r="D51" i="12" s="1"/>
  <c r="O42" i="12"/>
  <c r="C51" i="12" s="1"/>
  <c r="N42" i="12"/>
  <c r="F42" i="12"/>
  <c r="E42" i="12"/>
  <c r="P32" i="12" s="1"/>
  <c r="C42" i="12"/>
  <c r="D42" i="12" s="1"/>
  <c r="B42" i="12"/>
  <c r="A42" i="12"/>
  <c r="F41" i="12"/>
  <c r="E41" i="12"/>
  <c r="C41" i="12"/>
  <c r="D41" i="12" s="1"/>
  <c r="B41" i="12"/>
  <c r="A41" i="12"/>
  <c r="F40" i="12"/>
  <c r="E40" i="12"/>
  <c r="P28" i="12" s="1"/>
  <c r="C40" i="12"/>
  <c r="D40" i="12" s="1"/>
  <c r="B40" i="12"/>
  <c r="A40" i="12"/>
  <c r="F39" i="12"/>
  <c r="E39" i="12"/>
  <c r="C39" i="12"/>
  <c r="D39" i="12" s="1"/>
  <c r="B39" i="12"/>
  <c r="A39" i="12"/>
  <c r="F38" i="12"/>
  <c r="E38" i="12"/>
  <c r="C38" i="12"/>
  <c r="O30" i="12" s="1"/>
  <c r="Q30" i="12" s="1"/>
  <c r="B38" i="12"/>
  <c r="A38" i="12"/>
  <c r="P37" i="12"/>
  <c r="N37" i="12"/>
  <c r="M37" i="12"/>
  <c r="O36" i="12"/>
  <c r="Q36" i="12" s="1"/>
  <c r="N36" i="12"/>
  <c r="M36" i="12"/>
  <c r="P35" i="12"/>
  <c r="N35" i="12"/>
  <c r="M35" i="12"/>
  <c r="P34" i="12"/>
  <c r="O34" i="12"/>
  <c r="Q34" i="12" s="1"/>
  <c r="N34" i="12"/>
  <c r="M34" i="12"/>
  <c r="O33" i="12"/>
  <c r="Q33" i="12" s="1"/>
  <c r="N33" i="12"/>
  <c r="M33" i="12"/>
  <c r="N32" i="12"/>
  <c r="M32" i="12"/>
  <c r="O31" i="12"/>
  <c r="Q31" i="12" s="1"/>
  <c r="N31" i="12"/>
  <c r="M31" i="12"/>
  <c r="U30" i="12"/>
  <c r="V30" i="12" s="1"/>
  <c r="W30" i="12" s="1"/>
  <c r="P30" i="12"/>
  <c r="N30" i="12"/>
  <c r="M30" i="12"/>
  <c r="P29" i="12"/>
  <c r="N29" i="12"/>
  <c r="M29" i="12"/>
  <c r="N28" i="12"/>
  <c r="M28" i="12"/>
  <c r="Q17" i="12"/>
  <c r="P17" i="12"/>
  <c r="O17" i="12"/>
  <c r="N17" i="12"/>
  <c r="R17" i="12" s="1"/>
  <c r="S17" i="12" s="1"/>
  <c r="T17" i="12" s="1"/>
  <c r="M17" i="12"/>
  <c r="Q16" i="12"/>
  <c r="P16" i="12"/>
  <c r="O16" i="12"/>
  <c r="N16" i="12"/>
  <c r="M16" i="12"/>
  <c r="Q15" i="12"/>
  <c r="P15" i="12"/>
  <c r="O15" i="12"/>
  <c r="N15" i="12"/>
  <c r="M15" i="12"/>
  <c r="B115" i="11"/>
  <c r="B81" i="11"/>
  <c r="F47" i="11"/>
  <c r="E47" i="11"/>
  <c r="D47" i="11"/>
  <c r="C47" i="11"/>
  <c r="B47" i="11"/>
  <c r="A47" i="11"/>
  <c r="F46" i="11"/>
  <c r="E46" i="11"/>
  <c r="P35" i="11" s="1"/>
  <c r="C46" i="11"/>
  <c r="D46" i="11" s="1"/>
  <c r="B46" i="11"/>
  <c r="A46" i="11"/>
  <c r="F45" i="11"/>
  <c r="E45" i="11"/>
  <c r="P36" i="11" s="1"/>
  <c r="C45" i="11"/>
  <c r="D45" i="11" s="1"/>
  <c r="B45" i="11"/>
  <c r="A45" i="11"/>
  <c r="F44" i="11"/>
  <c r="E44" i="11"/>
  <c r="P37" i="11" s="1"/>
  <c r="C44" i="11"/>
  <c r="D44" i="11" s="1"/>
  <c r="B44" i="11"/>
  <c r="A44" i="11"/>
  <c r="F43" i="11"/>
  <c r="E43" i="11"/>
  <c r="P31" i="11" s="1"/>
  <c r="C43" i="11"/>
  <c r="D43" i="11" s="1"/>
  <c r="B43" i="11"/>
  <c r="A43" i="11"/>
  <c r="Q42" i="11"/>
  <c r="U30" i="11" s="1"/>
  <c r="V30" i="11" s="1"/>
  <c r="W30" i="11" s="1"/>
  <c r="P42" i="11"/>
  <c r="D51" i="11" s="1"/>
  <c r="O42" i="11"/>
  <c r="C51" i="11" s="1"/>
  <c r="N42" i="11"/>
  <c r="F42" i="11"/>
  <c r="E42" i="11"/>
  <c r="J41" i="11" s="1"/>
  <c r="C42" i="11"/>
  <c r="O32" i="11" s="1"/>
  <c r="Q32" i="11" s="1"/>
  <c r="B42" i="11"/>
  <c r="A42" i="11"/>
  <c r="F41" i="11"/>
  <c r="E41" i="11"/>
  <c r="C41" i="11"/>
  <c r="D41" i="11" s="1"/>
  <c r="B41" i="11"/>
  <c r="A41" i="11"/>
  <c r="F40" i="11"/>
  <c r="E40" i="11"/>
  <c r="P28" i="11" s="1"/>
  <c r="C40" i="11"/>
  <c r="O28" i="11" s="1"/>
  <c r="Q28" i="11" s="1"/>
  <c r="B40" i="11"/>
  <c r="A40" i="11"/>
  <c r="F39" i="11"/>
  <c r="E39" i="11"/>
  <c r="P29" i="11" s="1"/>
  <c r="C39" i="11"/>
  <c r="D39" i="11" s="1"/>
  <c r="B39" i="11"/>
  <c r="A39" i="11"/>
  <c r="F38" i="11"/>
  <c r="E38" i="11"/>
  <c r="P30" i="11" s="1"/>
  <c r="C38" i="11"/>
  <c r="O30" i="11" s="1"/>
  <c r="Q30" i="11" s="1"/>
  <c r="B38" i="11"/>
  <c r="A38" i="11"/>
  <c r="N37" i="11"/>
  <c r="M37" i="11"/>
  <c r="O36" i="11"/>
  <c r="Q36" i="11" s="1"/>
  <c r="N36" i="11"/>
  <c r="M36" i="11"/>
  <c r="N35" i="11"/>
  <c r="M35" i="11"/>
  <c r="P34" i="11"/>
  <c r="O34" i="11"/>
  <c r="Q34" i="11" s="1"/>
  <c r="N34" i="11"/>
  <c r="M34" i="11"/>
  <c r="P33" i="11"/>
  <c r="O33" i="11"/>
  <c r="Q33" i="11" s="1"/>
  <c r="N33" i="11"/>
  <c r="M33" i="11"/>
  <c r="N32" i="11"/>
  <c r="M32" i="11"/>
  <c r="O31" i="11"/>
  <c r="Q31" i="11" s="1"/>
  <c r="N31" i="11"/>
  <c r="M31" i="11"/>
  <c r="N30" i="11"/>
  <c r="M30" i="11"/>
  <c r="N29" i="11"/>
  <c r="M29" i="11"/>
  <c r="N28" i="11"/>
  <c r="M28" i="11"/>
  <c r="Q17" i="11"/>
  <c r="R17" i="11" s="1"/>
  <c r="P17" i="11"/>
  <c r="O17" i="11"/>
  <c r="N17" i="11"/>
  <c r="M17" i="11"/>
  <c r="Q16" i="11"/>
  <c r="P16" i="11"/>
  <c r="O16" i="11"/>
  <c r="N16" i="11"/>
  <c r="M16" i="11"/>
  <c r="Q15" i="11"/>
  <c r="R15" i="11" s="1"/>
  <c r="P15" i="11"/>
  <c r="O15" i="11"/>
  <c r="N15" i="11"/>
  <c r="M15" i="11"/>
  <c r="B115" i="9"/>
  <c r="B81" i="9"/>
  <c r="F46" i="9"/>
  <c r="E46" i="9"/>
  <c r="C46" i="9"/>
  <c r="D46" i="9" s="1"/>
  <c r="B46" i="9"/>
  <c r="A46" i="9"/>
  <c r="F45" i="9"/>
  <c r="E45" i="9"/>
  <c r="C45" i="9"/>
  <c r="D45" i="9" s="1"/>
  <c r="B45" i="9"/>
  <c r="A45" i="9"/>
  <c r="F44" i="9"/>
  <c r="E44" i="9"/>
  <c r="P36" i="9" s="1"/>
  <c r="C44" i="9"/>
  <c r="O36" i="9" s="1"/>
  <c r="Q36" i="9" s="1"/>
  <c r="B44" i="9"/>
  <c r="A44" i="9"/>
  <c r="F43" i="9"/>
  <c r="E43" i="9"/>
  <c r="P31" i="9" s="1"/>
  <c r="C43" i="9"/>
  <c r="O31" i="9" s="1"/>
  <c r="Q31" i="9" s="1"/>
  <c r="B43" i="9"/>
  <c r="A43" i="9"/>
  <c r="Q42" i="9"/>
  <c r="U28" i="9" s="1"/>
  <c r="V28" i="9" s="1"/>
  <c r="W28" i="9" s="1"/>
  <c r="P42" i="9"/>
  <c r="D51" i="9" s="1"/>
  <c r="O42" i="9"/>
  <c r="C51" i="9" s="1"/>
  <c r="N42" i="9"/>
  <c r="F42" i="9"/>
  <c r="E42" i="9"/>
  <c r="P32" i="9" s="1"/>
  <c r="D42" i="9"/>
  <c r="C42" i="9"/>
  <c r="B42" i="9"/>
  <c r="A42" i="9"/>
  <c r="F41" i="9"/>
  <c r="E41" i="9"/>
  <c r="P33" i="9" s="1"/>
  <c r="C41" i="9"/>
  <c r="D41" i="9" s="1"/>
  <c r="B41" i="9"/>
  <c r="A41" i="9"/>
  <c r="F40" i="9"/>
  <c r="E40" i="9"/>
  <c r="D40" i="9"/>
  <c r="C40" i="9"/>
  <c r="B40" i="9"/>
  <c r="A40" i="9"/>
  <c r="F39" i="9"/>
  <c r="E39" i="9"/>
  <c r="C39" i="9"/>
  <c r="D39" i="9" s="1"/>
  <c r="B39" i="9"/>
  <c r="A39" i="9"/>
  <c r="F38" i="9"/>
  <c r="E38" i="9"/>
  <c r="P30" i="9" s="1"/>
  <c r="C38" i="9"/>
  <c r="D38" i="9" s="1"/>
  <c r="B38" i="9"/>
  <c r="A38" i="9"/>
  <c r="N36" i="9"/>
  <c r="M36" i="9"/>
  <c r="P35" i="9"/>
  <c r="O35" i="9"/>
  <c r="Q35" i="9" s="1"/>
  <c r="N35" i="9"/>
  <c r="M35" i="9"/>
  <c r="P34" i="9"/>
  <c r="O34" i="9"/>
  <c r="Q34" i="9" s="1"/>
  <c r="N34" i="9"/>
  <c r="M34" i="9"/>
  <c r="N33" i="9"/>
  <c r="M33" i="9"/>
  <c r="O32" i="9"/>
  <c r="Q32" i="9" s="1"/>
  <c r="N32" i="9"/>
  <c r="M32" i="9"/>
  <c r="N31" i="9"/>
  <c r="M31" i="9"/>
  <c r="O30" i="9"/>
  <c r="Q30" i="9" s="1"/>
  <c r="N30" i="9"/>
  <c r="M30" i="9"/>
  <c r="P29" i="9"/>
  <c r="N29" i="9"/>
  <c r="M29" i="9"/>
  <c r="P28" i="9"/>
  <c r="O28" i="9"/>
  <c r="Q28" i="9" s="1"/>
  <c r="N28" i="9"/>
  <c r="M28" i="9"/>
  <c r="Q17" i="9"/>
  <c r="P17" i="9"/>
  <c r="O17" i="9"/>
  <c r="N17" i="9"/>
  <c r="M17" i="9"/>
  <c r="Q16" i="9"/>
  <c r="P16" i="9"/>
  <c r="O16" i="9"/>
  <c r="N16" i="9"/>
  <c r="M16" i="9"/>
  <c r="Q15" i="9"/>
  <c r="R15" i="9" s="1"/>
  <c r="S15" i="9" s="1"/>
  <c r="P15" i="9"/>
  <c r="O15" i="9"/>
  <c r="N15" i="9"/>
  <c r="M15" i="9"/>
  <c r="B115" i="8"/>
  <c r="B81" i="8"/>
  <c r="F46" i="8"/>
  <c r="E46" i="8"/>
  <c r="C46" i="8"/>
  <c r="D46" i="8" s="1"/>
  <c r="B46" i="8"/>
  <c r="A46" i="8"/>
  <c r="F45" i="8"/>
  <c r="E45" i="8"/>
  <c r="P35" i="8" s="1"/>
  <c r="C45" i="8"/>
  <c r="O35" i="8" s="1"/>
  <c r="Q35" i="8" s="1"/>
  <c r="B45" i="8"/>
  <c r="A45" i="8"/>
  <c r="F44" i="8"/>
  <c r="E44" i="8"/>
  <c r="P36" i="8" s="1"/>
  <c r="C44" i="8"/>
  <c r="O36" i="8" s="1"/>
  <c r="Q36" i="8" s="1"/>
  <c r="B44" i="8"/>
  <c r="A44" i="8"/>
  <c r="F43" i="8"/>
  <c r="E43" i="8"/>
  <c r="C43" i="8"/>
  <c r="O31" i="8" s="1"/>
  <c r="Q31" i="8" s="1"/>
  <c r="B43" i="8"/>
  <c r="A43" i="8"/>
  <c r="Q42" i="8"/>
  <c r="U28" i="8" s="1"/>
  <c r="V28" i="8" s="1"/>
  <c r="W28" i="8" s="1"/>
  <c r="P42" i="8"/>
  <c r="D51" i="8" s="1"/>
  <c r="O42" i="8"/>
  <c r="C51" i="8" s="1"/>
  <c r="N42" i="8"/>
  <c r="F42" i="8"/>
  <c r="E42" i="8"/>
  <c r="D42" i="8"/>
  <c r="C42" i="8"/>
  <c r="B42" i="8"/>
  <c r="A42" i="8"/>
  <c r="F41" i="8"/>
  <c r="E41" i="8"/>
  <c r="P33" i="8" s="1"/>
  <c r="C41" i="8"/>
  <c r="O33" i="8" s="1"/>
  <c r="Q33" i="8" s="1"/>
  <c r="B41" i="8"/>
  <c r="A41" i="8"/>
  <c r="F40" i="8"/>
  <c r="E40" i="8"/>
  <c r="C40" i="8"/>
  <c r="D40" i="8" s="1"/>
  <c r="B40" i="8"/>
  <c r="A40" i="8"/>
  <c r="F39" i="8"/>
  <c r="E39" i="8"/>
  <c r="P29" i="8" s="1"/>
  <c r="C39" i="8"/>
  <c r="O29" i="8" s="1"/>
  <c r="Q29" i="8" s="1"/>
  <c r="B39" i="8"/>
  <c r="A39" i="8"/>
  <c r="F38" i="8"/>
  <c r="E38" i="8"/>
  <c r="P30" i="8" s="1"/>
  <c r="C38" i="8"/>
  <c r="D38" i="8" s="1"/>
  <c r="B38" i="8"/>
  <c r="A38" i="8"/>
  <c r="N36" i="8"/>
  <c r="M36" i="8"/>
  <c r="N35" i="8"/>
  <c r="M35" i="8"/>
  <c r="P34" i="8"/>
  <c r="O34" i="8"/>
  <c r="Q34" i="8" s="1"/>
  <c r="N34" i="8"/>
  <c r="M34" i="8"/>
  <c r="N33" i="8"/>
  <c r="M33" i="8"/>
  <c r="P32" i="8"/>
  <c r="O32" i="8"/>
  <c r="Q32" i="8" s="1"/>
  <c r="N32" i="8"/>
  <c r="M32" i="8"/>
  <c r="P31" i="8"/>
  <c r="N31" i="8"/>
  <c r="M31" i="8"/>
  <c r="O30" i="8"/>
  <c r="Q30" i="8" s="1"/>
  <c r="N30" i="8"/>
  <c r="M30" i="8"/>
  <c r="N29" i="8"/>
  <c r="M29" i="8"/>
  <c r="Q28" i="8"/>
  <c r="P28" i="8"/>
  <c r="O28" i="8"/>
  <c r="N28" i="8"/>
  <c r="M28" i="8"/>
  <c r="Q17" i="8"/>
  <c r="P17" i="8"/>
  <c r="O17" i="8"/>
  <c r="N17" i="8"/>
  <c r="M17" i="8"/>
  <c r="Q16" i="8"/>
  <c r="R16" i="8" s="1"/>
  <c r="S16" i="8" s="1"/>
  <c r="T16" i="8" s="1"/>
  <c r="P16" i="8"/>
  <c r="O16" i="8"/>
  <c r="N16" i="8"/>
  <c r="M16" i="8"/>
  <c r="Q15" i="8"/>
  <c r="P15" i="8"/>
  <c r="O15" i="8"/>
  <c r="N15" i="8"/>
  <c r="R15" i="8" s="1"/>
  <c r="S15" i="8" s="1"/>
  <c r="M15" i="8"/>
  <c r="B115" i="7"/>
  <c r="B81" i="7"/>
  <c r="F46" i="7"/>
  <c r="E46" i="7"/>
  <c r="C46" i="7"/>
  <c r="D46" i="7" s="1"/>
  <c r="B46" i="7"/>
  <c r="A46" i="7"/>
  <c r="F45" i="7"/>
  <c r="E45" i="7"/>
  <c r="P35" i="7" s="1"/>
  <c r="C45" i="7"/>
  <c r="D45" i="7" s="1"/>
  <c r="B45" i="7"/>
  <c r="A45" i="7"/>
  <c r="F44" i="7"/>
  <c r="E44" i="7"/>
  <c r="P36" i="7" s="1"/>
  <c r="D44" i="7"/>
  <c r="C44" i="7"/>
  <c r="B44" i="7"/>
  <c r="A44" i="7"/>
  <c r="F43" i="7"/>
  <c r="E43" i="7"/>
  <c r="P31" i="7" s="1"/>
  <c r="C43" i="7"/>
  <c r="O31" i="7" s="1"/>
  <c r="Q31" i="7" s="1"/>
  <c r="B43" i="7"/>
  <c r="A43" i="7"/>
  <c r="Q42" i="7"/>
  <c r="U28" i="7" s="1"/>
  <c r="V28" i="7" s="1"/>
  <c r="W28" i="7" s="1"/>
  <c r="P42" i="7"/>
  <c r="D51" i="7" s="1"/>
  <c r="O42" i="7"/>
  <c r="C51" i="7" s="1"/>
  <c r="N42" i="7"/>
  <c r="F42" i="7"/>
  <c r="E42" i="7"/>
  <c r="C42" i="7"/>
  <c r="D42" i="7" s="1"/>
  <c r="B42" i="7"/>
  <c r="A42" i="7"/>
  <c r="F41" i="7"/>
  <c r="E41" i="7"/>
  <c r="P33" i="7" s="1"/>
  <c r="C41" i="7"/>
  <c r="D41" i="7" s="1"/>
  <c r="B41" i="7"/>
  <c r="A41" i="7"/>
  <c r="F40" i="7"/>
  <c r="E40" i="7"/>
  <c r="C40" i="7"/>
  <c r="D40" i="7" s="1"/>
  <c r="B40" i="7"/>
  <c r="A40" i="7"/>
  <c r="F39" i="7"/>
  <c r="E39" i="7"/>
  <c r="P29" i="7" s="1"/>
  <c r="C39" i="7"/>
  <c r="D39" i="7" s="1"/>
  <c r="B39" i="7"/>
  <c r="A39" i="7"/>
  <c r="F38" i="7"/>
  <c r="E38" i="7"/>
  <c r="P30" i="7" s="1"/>
  <c r="D38" i="7"/>
  <c r="C38" i="7"/>
  <c r="O30" i="7" s="1"/>
  <c r="Q30" i="7" s="1"/>
  <c r="B38" i="7"/>
  <c r="A38" i="7"/>
  <c r="O36" i="7"/>
  <c r="Q36" i="7" s="1"/>
  <c r="N36" i="7"/>
  <c r="M36" i="7"/>
  <c r="N35" i="7"/>
  <c r="M35" i="7"/>
  <c r="P34" i="7"/>
  <c r="O34" i="7"/>
  <c r="Q34" i="7" s="1"/>
  <c r="N34" i="7"/>
  <c r="M34" i="7"/>
  <c r="N33" i="7"/>
  <c r="M33" i="7"/>
  <c r="P32" i="7"/>
  <c r="N32" i="7"/>
  <c r="M32" i="7"/>
  <c r="N31" i="7"/>
  <c r="M31" i="7"/>
  <c r="N30" i="7"/>
  <c r="M30" i="7"/>
  <c r="N29" i="7"/>
  <c r="M29" i="7"/>
  <c r="P28" i="7"/>
  <c r="N28" i="7"/>
  <c r="M28" i="7"/>
  <c r="Q17" i="7"/>
  <c r="P17" i="7"/>
  <c r="O17" i="7"/>
  <c r="N17" i="7"/>
  <c r="M17" i="7"/>
  <c r="Q16" i="7"/>
  <c r="P16" i="7"/>
  <c r="O16" i="7"/>
  <c r="N16" i="7"/>
  <c r="R16" i="7" s="1"/>
  <c r="M16" i="7"/>
  <c r="Q15" i="7"/>
  <c r="P15" i="7"/>
  <c r="O15" i="7"/>
  <c r="N15" i="7"/>
  <c r="M15" i="7"/>
  <c r="B115" i="6"/>
  <c r="B81" i="6"/>
  <c r="F46" i="6"/>
  <c r="E46" i="6"/>
  <c r="P34" i="6" s="1"/>
  <c r="C46" i="6"/>
  <c r="D46" i="6" s="1"/>
  <c r="B46" i="6"/>
  <c r="A46" i="6"/>
  <c r="F45" i="6"/>
  <c r="E45" i="6"/>
  <c r="P35" i="6" s="1"/>
  <c r="C45" i="6"/>
  <c r="D45" i="6" s="1"/>
  <c r="B45" i="6"/>
  <c r="A45" i="6"/>
  <c r="F44" i="6"/>
  <c r="E44" i="6"/>
  <c r="P36" i="6" s="1"/>
  <c r="D44" i="6"/>
  <c r="C44" i="6"/>
  <c r="B44" i="6"/>
  <c r="A44" i="6"/>
  <c r="F43" i="6"/>
  <c r="E43" i="6"/>
  <c r="P31" i="6" s="1"/>
  <c r="C43" i="6"/>
  <c r="O31" i="6" s="1"/>
  <c r="Q31" i="6" s="1"/>
  <c r="B43" i="6"/>
  <c r="A43" i="6"/>
  <c r="Q42" i="6"/>
  <c r="U28" i="6" s="1"/>
  <c r="V28" i="6" s="1"/>
  <c r="W28" i="6" s="1"/>
  <c r="P42" i="6"/>
  <c r="D51" i="6" s="1"/>
  <c r="O42" i="6"/>
  <c r="C51" i="6" s="1"/>
  <c r="N42" i="6"/>
  <c r="F42" i="6"/>
  <c r="E42" i="6"/>
  <c r="P32" i="6" s="1"/>
  <c r="D42" i="6"/>
  <c r="C42" i="6"/>
  <c r="B42" i="6"/>
  <c r="A42" i="6"/>
  <c r="F41" i="6"/>
  <c r="E41" i="6"/>
  <c r="C41" i="6"/>
  <c r="O33" i="6" s="1"/>
  <c r="Q33" i="6" s="1"/>
  <c r="B41" i="6"/>
  <c r="A41" i="6"/>
  <c r="F40" i="6"/>
  <c r="E40" i="6"/>
  <c r="P28" i="6" s="1"/>
  <c r="C40" i="6"/>
  <c r="O28" i="6" s="1"/>
  <c r="Q28" i="6" s="1"/>
  <c r="B40" i="6"/>
  <c r="A40" i="6"/>
  <c r="F39" i="6"/>
  <c r="E39" i="6"/>
  <c r="P29" i="6" s="1"/>
  <c r="C39" i="6"/>
  <c r="O29" i="6" s="1"/>
  <c r="Q29" i="6" s="1"/>
  <c r="B39" i="6"/>
  <c r="A39" i="6"/>
  <c r="F38" i="6"/>
  <c r="E38" i="6"/>
  <c r="C38" i="6"/>
  <c r="D38" i="6" s="1"/>
  <c r="B38" i="6"/>
  <c r="A38" i="6"/>
  <c r="O36" i="6"/>
  <c r="Q36" i="6" s="1"/>
  <c r="N36" i="6"/>
  <c r="M36" i="6"/>
  <c r="N35" i="6"/>
  <c r="M35" i="6"/>
  <c r="N34" i="6"/>
  <c r="M34" i="6"/>
  <c r="N33" i="6"/>
  <c r="M33" i="6"/>
  <c r="O32" i="6"/>
  <c r="Q32" i="6" s="1"/>
  <c r="N32" i="6"/>
  <c r="M32" i="6"/>
  <c r="N31" i="6"/>
  <c r="M31" i="6"/>
  <c r="P30" i="6"/>
  <c r="N30" i="6"/>
  <c r="M30" i="6"/>
  <c r="N29" i="6"/>
  <c r="M29" i="6"/>
  <c r="N28" i="6"/>
  <c r="M28" i="6"/>
  <c r="Q17" i="6"/>
  <c r="P17" i="6"/>
  <c r="O17" i="6"/>
  <c r="N17" i="6"/>
  <c r="M17" i="6"/>
  <c r="Q16" i="6"/>
  <c r="P16" i="6"/>
  <c r="O16" i="6"/>
  <c r="N16" i="6"/>
  <c r="M16" i="6"/>
  <c r="Q15" i="6"/>
  <c r="P15" i="6"/>
  <c r="O15" i="6"/>
  <c r="N15" i="6"/>
  <c r="M15" i="6"/>
  <c r="B115" i="5"/>
  <c r="B81" i="5"/>
  <c r="F46" i="5"/>
  <c r="E46" i="5"/>
  <c r="C46" i="5"/>
  <c r="D46" i="5" s="1"/>
  <c r="B46" i="5"/>
  <c r="A46" i="5"/>
  <c r="F45" i="5"/>
  <c r="E45" i="5"/>
  <c r="C45" i="5"/>
  <c r="D45" i="5" s="1"/>
  <c r="B45" i="5"/>
  <c r="A45" i="5"/>
  <c r="F44" i="5"/>
  <c r="E44" i="5"/>
  <c r="P36" i="5" s="1"/>
  <c r="D44" i="5"/>
  <c r="C44" i="5"/>
  <c r="O36" i="5" s="1"/>
  <c r="Q36" i="5" s="1"/>
  <c r="B44" i="5"/>
  <c r="A44" i="5"/>
  <c r="F43" i="5"/>
  <c r="E43" i="5"/>
  <c r="C43" i="5"/>
  <c r="D43" i="5" s="1"/>
  <c r="B43" i="5"/>
  <c r="A43" i="5"/>
  <c r="Q42" i="5"/>
  <c r="U28" i="5" s="1"/>
  <c r="V28" i="5" s="1"/>
  <c r="W28" i="5" s="1"/>
  <c r="P42" i="5"/>
  <c r="D51" i="5" s="1"/>
  <c r="O42" i="5"/>
  <c r="C51" i="5" s="1"/>
  <c r="N42" i="5"/>
  <c r="F42" i="5"/>
  <c r="E42" i="5"/>
  <c r="D42" i="5"/>
  <c r="C42" i="5"/>
  <c r="B42" i="5"/>
  <c r="A42" i="5"/>
  <c r="F41" i="5"/>
  <c r="E41" i="5"/>
  <c r="J41" i="5" s="1"/>
  <c r="C41" i="5"/>
  <c r="D41" i="5" s="1"/>
  <c r="B41" i="5"/>
  <c r="A41" i="5"/>
  <c r="F40" i="5"/>
  <c r="E40" i="5"/>
  <c r="P28" i="5" s="1"/>
  <c r="C40" i="5"/>
  <c r="D40" i="5" s="1"/>
  <c r="B40" i="5"/>
  <c r="A40" i="5"/>
  <c r="F39" i="5"/>
  <c r="E39" i="5"/>
  <c r="P29" i="5" s="1"/>
  <c r="C39" i="5"/>
  <c r="O29" i="5" s="1"/>
  <c r="Q29" i="5" s="1"/>
  <c r="B39" i="5"/>
  <c r="A39" i="5"/>
  <c r="F38" i="5"/>
  <c r="E38" i="5"/>
  <c r="C38" i="5"/>
  <c r="D38" i="5" s="1"/>
  <c r="B38" i="5"/>
  <c r="A38" i="5"/>
  <c r="N36" i="5"/>
  <c r="M36" i="5"/>
  <c r="P35" i="5"/>
  <c r="O35" i="5"/>
  <c r="Q35" i="5" s="1"/>
  <c r="N35" i="5"/>
  <c r="M35" i="5"/>
  <c r="P34" i="5"/>
  <c r="O34" i="5"/>
  <c r="Q34" i="5" s="1"/>
  <c r="N34" i="5"/>
  <c r="M34" i="5"/>
  <c r="N33" i="5"/>
  <c r="M33" i="5"/>
  <c r="P32" i="5"/>
  <c r="O32" i="5"/>
  <c r="Q32" i="5" s="1"/>
  <c r="N32" i="5"/>
  <c r="M32" i="5"/>
  <c r="P31" i="5"/>
  <c r="O31" i="5"/>
  <c r="Q31" i="5" s="1"/>
  <c r="N31" i="5"/>
  <c r="M31" i="5"/>
  <c r="P30" i="5"/>
  <c r="O30" i="5"/>
  <c r="Q30" i="5" s="1"/>
  <c r="N30" i="5"/>
  <c r="M30" i="5"/>
  <c r="N29" i="5"/>
  <c r="M29" i="5"/>
  <c r="O28" i="5"/>
  <c r="Q28" i="5" s="1"/>
  <c r="N28" i="5"/>
  <c r="M28" i="5"/>
  <c r="Q17" i="5"/>
  <c r="R17" i="5" s="1"/>
  <c r="P17" i="5"/>
  <c r="O17" i="5"/>
  <c r="N17" i="5"/>
  <c r="M17" i="5"/>
  <c r="Q16" i="5"/>
  <c r="P16" i="5"/>
  <c r="O16" i="5"/>
  <c r="N16" i="5"/>
  <c r="M16" i="5"/>
  <c r="Q15" i="5"/>
  <c r="P15" i="5"/>
  <c r="O15" i="5"/>
  <c r="N15" i="5"/>
  <c r="M15" i="5"/>
  <c r="B115" i="4"/>
  <c r="B81" i="4"/>
  <c r="F47" i="4"/>
  <c r="E47" i="4"/>
  <c r="P34" i="4" s="1"/>
  <c r="C47" i="4"/>
  <c r="D47" i="4" s="1"/>
  <c r="B47" i="4"/>
  <c r="A47" i="4"/>
  <c r="F46" i="4"/>
  <c r="E46" i="4"/>
  <c r="P35" i="4" s="1"/>
  <c r="C46" i="4"/>
  <c r="O35" i="4" s="1"/>
  <c r="Q35" i="4" s="1"/>
  <c r="B46" i="4"/>
  <c r="A46" i="4"/>
  <c r="F45" i="4"/>
  <c r="E45" i="4"/>
  <c r="P36" i="4" s="1"/>
  <c r="C45" i="4"/>
  <c r="D45" i="4" s="1"/>
  <c r="B45" i="4"/>
  <c r="A45" i="4"/>
  <c r="F44" i="4"/>
  <c r="E44" i="4"/>
  <c r="P37" i="4" s="1"/>
  <c r="C44" i="4"/>
  <c r="O37" i="4" s="1"/>
  <c r="Q37" i="4" s="1"/>
  <c r="B44" i="4"/>
  <c r="A44" i="4"/>
  <c r="F43" i="4"/>
  <c r="E43" i="4"/>
  <c r="P31" i="4" s="1"/>
  <c r="C43" i="4"/>
  <c r="D43" i="4" s="1"/>
  <c r="B43" i="4"/>
  <c r="A43" i="4"/>
  <c r="Q42" i="4"/>
  <c r="E51" i="4" s="1"/>
  <c r="P42" i="4"/>
  <c r="D51" i="4" s="1"/>
  <c r="O42" i="4"/>
  <c r="C51" i="4" s="1"/>
  <c r="N42" i="4"/>
  <c r="F42" i="4"/>
  <c r="E42" i="4"/>
  <c r="P32" i="4" s="1"/>
  <c r="C42" i="4"/>
  <c r="O32" i="4" s="1"/>
  <c r="Q32" i="4" s="1"/>
  <c r="B42" i="4"/>
  <c r="A42" i="4"/>
  <c r="F41" i="4"/>
  <c r="E41" i="4"/>
  <c r="P33" i="4" s="1"/>
  <c r="C41" i="4"/>
  <c r="D41" i="4" s="1"/>
  <c r="B41" i="4"/>
  <c r="A41" i="4"/>
  <c r="F40" i="4"/>
  <c r="E40" i="4"/>
  <c r="P28" i="4" s="1"/>
  <c r="C40" i="4"/>
  <c r="O28" i="4" s="1"/>
  <c r="Q28" i="4" s="1"/>
  <c r="B40" i="4"/>
  <c r="A40" i="4"/>
  <c r="F39" i="4"/>
  <c r="E39" i="4"/>
  <c r="C39" i="4"/>
  <c r="D39" i="4" s="1"/>
  <c r="B39" i="4"/>
  <c r="A39" i="4"/>
  <c r="F38" i="4"/>
  <c r="E38" i="4"/>
  <c r="P30" i="4" s="1"/>
  <c r="C38" i="4"/>
  <c r="O30" i="4" s="1"/>
  <c r="Q30" i="4" s="1"/>
  <c r="B38" i="4"/>
  <c r="A38" i="4"/>
  <c r="N37" i="4"/>
  <c r="M37" i="4"/>
  <c r="N36" i="4"/>
  <c r="M36" i="4"/>
  <c r="N35" i="4"/>
  <c r="M35" i="4"/>
  <c r="O34" i="4"/>
  <c r="Q34" i="4" s="1"/>
  <c r="N34" i="4"/>
  <c r="M34" i="4"/>
  <c r="O33" i="4"/>
  <c r="Q33" i="4" s="1"/>
  <c r="N33" i="4"/>
  <c r="M33" i="4"/>
  <c r="N32" i="4"/>
  <c r="M32" i="4"/>
  <c r="N31" i="4"/>
  <c r="M31" i="4"/>
  <c r="N30" i="4"/>
  <c r="M30" i="4"/>
  <c r="P29" i="4"/>
  <c r="O29" i="4"/>
  <c r="Q29" i="4" s="1"/>
  <c r="N29" i="4"/>
  <c r="M29" i="4"/>
  <c r="N28" i="4"/>
  <c r="M28" i="4"/>
  <c r="Q17" i="4"/>
  <c r="R17" i="4" s="1"/>
  <c r="P17" i="4"/>
  <c r="O17" i="4"/>
  <c r="N17" i="4"/>
  <c r="M17" i="4"/>
  <c r="Q16" i="4"/>
  <c r="P16" i="4"/>
  <c r="O16" i="4"/>
  <c r="N16" i="4"/>
  <c r="M16" i="4"/>
  <c r="Q15" i="4"/>
  <c r="P15" i="4"/>
  <c r="O15" i="4"/>
  <c r="N15" i="4"/>
  <c r="M15" i="4"/>
  <c r="J41" i="2"/>
  <c r="J43" i="2" s="1"/>
  <c r="J40" i="2"/>
  <c r="F115" i="2"/>
  <c r="G115" i="2" s="1"/>
  <c r="D115" i="2"/>
  <c r="E115" i="2" s="1"/>
  <c r="B115" i="2"/>
  <c r="U30" i="20" l="1"/>
  <c r="V30" i="20" s="1"/>
  <c r="W30" i="20" s="1"/>
  <c r="U35" i="20"/>
  <c r="V35" i="20" s="1"/>
  <c r="W35" i="20" s="1"/>
  <c r="U31" i="20"/>
  <c r="V31" i="20" s="1"/>
  <c r="W31" i="20" s="1"/>
  <c r="U32" i="20"/>
  <c r="V32" i="20" s="1"/>
  <c r="W32" i="20" s="1"/>
  <c r="U36" i="20"/>
  <c r="V36" i="20" s="1"/>
  <c r="W36" i="20" s="1"/>
  <c r="U37" i="20"/>
  <c r="V37" i="20" s="1"/>
  <c r="W37" i="20" s="1"/>
  <c r="U28" i="20"/>
  <c r="V28" i="20" s="1"/>
  <c r="W28" i="20" s="1"/>
  <c r="U33" i="20"/>
  <c r="V33" i="20" s="1"/>
  <c r="W33" i="20" s="1"/>
  <c r="E51" i="20"/>
  <c r="D109" i="20" s="1"/>
  <c r="E109" i="20" s="1"/>
  <c r="V29" i="20"/>
  <c r="W29" i="20" s="1"/>
  <c r="U34" i="20"/>
  <c r="V34" i="20" s="1"/>
  <c r="W34" i="20" s="1"/>
  <c r="O29" i="20"/>
  <c r="Q29" i="20" s="1"/>
  <c r="R16" i="20"/>
  <c r="R15" i="20"/>
  <c r="S15" i="20"/>
  <c r="B17" i="20" s="1"/>
  <c r="S16" i="20"/>
  <c r="T16" i="20" s="1"/>
  <c r="S17" i="20"/>
  <c r="T17" i="20" s="1"/>
  <c r="J42" i="20"/>
  <c r="J43" i="20"/>
  <c r="Q38" i="20"/>
  <c r="D40" i="20"/>
  <c r="D46" i="20"/>
  <c r="P32" i="20"/>
  <c r="D42" i="20"/>
  <c r="D38" i="20"/>
  <c r="B51" i="20"/>
  <c r="U32" i="19"/>
  <c r="V32" i="19" s="1"/>
  <c r="W32" i="19" s="1"/>
  <c r="E51" i="19"/>
  <c r="D109" i="19" s="1"/>
  <c r="E109" i="19" s="1"/>
  <c r="O34" i="19"/>
  <c r="Q34" i="19" s="1"/>
  <c r="O35" i="19"/>
  <c r="Q35" i="19" s="1"/>
  <c r="O32" i="19"/>
  <c r="Q32" i="19" s="1"/>
  <c r="R17" i="19"/>
  <c r="S17" i="19" s="1"/>
  <c r="T17" i="19" s="1"/>
  <c r="T15" i="19"/>
  <c r="B18" i="19" s="1"/>
  <c r="B17" i="19"/>
  <c r="U33" i="19"/>
  <c r="V33" i="19" s="1"/>
  <c r="W33" i="19" s="1"/>
  <c r="J41" i="19"/>
  <c r="D100" i="19"/>
  <c r="E100" i="19" s="1"/>
  <c r="D107" i="19"/>
  <c r="E107" i="19" s="1"/>
  <c r="D85" i="19"/>
  <c r="E85" i="19" s="1"/>
  <c r="D41" i="19"/>
  <c r="U35" i="19"/>
  <c r="V35" i="19" s="1"/>
  <c r="W35" i="19" s="1"/>
  <c r="D39" i="19"/>
  <c r="U30" i="19"/>
  <c r="V30" i="19" s="1"/>
  <c r="W30" i="19" s="1"/>
  <c r="U36" i="19"/>
  <c r="V36" i="19" s="1"/>
  <c r="W36" i="19" s="1"/>
  <c r="U34" i="19"/>
  <c r="V34" i="19" s="1"/>
  <c r="W34" i="19" s="1"/>
  <c r="U29" i="19"/>
  <c r="V29" i="19" s="1"/>
  <c r="W29" i="19" s="1"/>
  <c r="U31" i="19"/>
  <c r="V31" i="19" s="1"/>
  <c r="W31" i="19" s="1"/>
  <c r="O36" i="19"/>
  <c r="Q36" i="19" s="1"/>
  <c r="D91" i="19"/>
  <c r="E91" i="19" s="1"/>
  <c r="D105" i="19"/>
  <c r="E105" i="19" s="1"/>
  <c r="O31" i="18"/>
  <c r="Q31" i="18" s="1"/>
  <c r="O35" i="18"/>
  <c r="Q35" i="18" s="1"/>
  <c r="R17" i="18"/>
  <c r="R16" i="18"/>
  <c r="S16" i="18" s="1"/>
  <c r="T16" i="18" s="1"/>
  <c r="R15" i="18"/>
  <c r="S15" i="18" s="1"/>
  <c r="S17" i="18"/>
  <c r="T17" i="18" s="1"/>
  <c r="T15" i="18"/>
  <c r="U32" i="18"/>
  <c r="V32" i="18" s="1"/>
  <c r="W32" i="18" s="1"/>
  <c r="E51" i="18"/>
  <c r="O34" i="18"/>
  <c r="Q34" i="18" s="1"/>
  <c r="Q37" i="18" s="1"/>
  <c r="D39" i="18"/>
  <c r="U31" i="18"/>
  <c r="V31" i="18" s="1"/>
  <c r="W31" i="18" s="1"/>
  <c r="J41" i="18"/>
  <c r="U35" i="18"/>
  <c r="V35" i="18" s="1"/>
  <c r="W35" i="18" s="1"/>
  <c r="U36" i="18"/>
  <c r="V36" i="18" s="1"/>
  <c r="W36" i="18" s="1"/>
  <c r="U30" i="18"/>
  <c r="V30" i="18" s="1"/>
  <c r="W30" i="18" s="1"/>
  <c r="U34" i="18"/>
  <c r="V34" i="18" s="1"/>
  <c r="W34" i="18" s="1"/>
  <c r="U29" i="18"/>
  <c r="V29" i="18" s="1"/>
  <c r="W29" i="18" s="1"/>
  <c r="U33" i="18"/>
  <c r="V33" i="18" s="1"/>
  <c r="W33" i="18" s="1"/>
  <c r="B51" i="18"/>
  <c r="U33" i="17"/>
  <c r="V33" i="17" s="1"/>
  <c r="W33" i="17" s="1"/>
  <c r="O35" i="17"/>
  <c r="Q35" i="17" s="1"/>
  <c r="O34" i="17"/>
  <c r="Q34" i="17" s="1"/>
  <c r="D41" i="17"/>
  <c r="O31" i="17"/>
  <c r="Q31" i="17" s="1"/>
  <c r="R15" i="17"/>
  <c r="S15" i="17" s="1"/>
  <c r="R17" i="17"/>
  <c r="S17" i="17" s="1"/>
  <c r="T17" i="17" s="1"/>
  <c r="T15" i="17"/>
  <c r="B18" i="17" s="1"/>
  <c r="B17" i="17"/>
  <c r="O30" i="17"/>
  <c r="Q30" i="17" s="1"/>
  <c r="U32" i="17"/>
  <c r="V32" i="17" s="1"/>
  <c r="W32" i="17" s="1"/>
  <c r="E51" i="17"/>
  <c r="U36" i="17"/>
  <c r="V36" i="17" s="1"/>
  <c r="W36" i="17" s="1"/>
  <c r="O29" i="17"/>
  <c r="Q29" i="17" s="1"/>
  <c r="Q37" i="17" s="1"/>
  <c r="J41" i="17"/>
  <c r="U35" i="17"/>
  <c r="V35" i="17" s="1"/>
  <c r="W35" i="17" s="1"/>
  <c r="U31" i="17"/>
  <c r="V31" i="17" s="1"/>
  <c r="W31" i="17" s="1"/>
  <c r="U30" i="17"/>
  <c r="V30" i="17" s="1"/>
  <c r="W30" i="17" s="1"/>
  <c r="U34" i="17"/>
  <c r="V34" i="17" s="1"/>
  <c r="W34" i="17" s="1"/>
  <c r="U29" i="17"/>
  <c r="V29" i="17" s="1"/>
  <c r="W29" i="17" s="1"/>
  <c r="O36" i="17"/>
  <c r="Q36" i="17" s="1"/>
  <c r="O34" i="16"/>
  <c r="Q34" i="16" s="1"/>
  <c r="R15" i="16"/>
  <c r="S15" i="16" s="1"/>
  <c r="R17" i="16"/>
  <c r="S17" i="16" s="1"/>
  <c r="T17" i="16" s="1"/>
  <c r="J42" i="16"/>
  <c r="J43" i="16"/>
  <c r="O35" i="16"/>
  <c r="Q35" i="16" s="1"/>
  <c r="U32" i="16"/>
  <c r="V32" i="16" s="1"/>
  <c r="W32" i="16" s="1"/>
  <c r="E51" i="16"/>
  <c r="D39" i="16"/>
  <c r="U31" i="16"/>
  <c r="V31" i="16" s="1"/>
  <c r="W31" i="16" s="1"/>
  <c r="U35" i="16"/>
  <c r="V35" i="16" s="1"/>
  <c r="W35" i="16" s="1"/>
  <c r="D43" i="16"/>
  <c r="O28" i="16"/>
  <c r="Q28" i="16" s="1"/>
  <c r="U30" i="16"/>
  <c r="V30" i="16" s="1"/>
  <c r="W30" i="16" s="1"/>
  <c r="P33" i="16"/>
  <c r="O32" i="16"/>
  <c r="Q32" i="16" s="1"/>
  <c r="U34" i="16"/>
  <c r="V34" i="16" s="1"/>
  <c r="W34" i="16" s="1"/>
  <c r="U29" i="16"/>
  <c r="V29" i="16" s="1"/>
  <c r="W29" i="16" s="1"/>
  <c r="U36" i="16"/>
  <c r="V36" i="16" s="1"/>
  <c r="W36" i="16" s="1"/>
  <c r="U33" i="16"/>
  <c r="V33" i="16" s="1"/>
  <c r="W33" i="16" s="1"/>
  <c r="B51" i="16"/>
  <c r="U32" i="14"/>
  <c r="U37" i="14"/>
  <c r="U28" i="14"/>
  <c r="V28" i="14" s="1"/>
  <c r="W28" i="14" s="1"/>
  <c r="V29" i="14"/>
  <c r="W29" i="14" s="1"/>
  <c r="U33" i="14"/>
  <c r="V33" i="14" s="1"/>
  <c r="W33" i="14" s="1"/>
  <c r="D109" i="14"/>
  <c r="E109" i="14" s="1"/>
  <c r="D100" i="14"/>
  <c r="E100" i="14" s="1"/>
  <c r="D114" i="14"/>
  <c r="E114" i="14" s="1"/>
  <c r="D111" i="14"/>
  <c r="E111" i="14" s="1"/>
  <c r="D110" i="14"/>
  <c r="E110" i="14" s="1"/>
  <c r="D107" i="14"/>
  <c r="E107" i="14" s="1"/>
  <c r="D104" i="14"/>
  <c r="E104" i="14" s="1"/>
  <c r="D103" i="14"/>
  <c r="E103" i="14" s="1"/>
  <c r="D86" i="14"/>
  <c r="E86" i="14" s="1"/>
  <c r="D97" i="14"/>
  <c r="E97" i="14" s="1"/>
  <c r="D96" i="14"/>
  <c r="E96" i="14" s="1"/>
  <c r="D93" i="14"/>
  <c r="E93" i="14" s="1"/>
  <c r="D90" i="14"/>
  <c r="E90" i="14" s="1"/>
  <c r="D89" i="14"/>
  <c r="E89" i="14" s="1"/>
  <c r="V32" i="14"/>
  <c r="W32" i="14" s="1"/>
  <c r="D39" i="14"/>
  <c r="O36" i="14"/>
  <c r="Q36" i="14" s="1"/>
  <c r="J41" i="14"/>
  <c r="D47" i="14"/>
  <c r="R15" i="14"/>
  <c r="S15" i="14" s="1"/>
  <c r="T15" i="14" s="1"/>
  <c r="B18" i="14" s="1"/>
  <c r="J42" i="14"/>
  <c r="J43" i="14"/>
  <c r="V37" i="14"/>
  <c r="W37" i="14" s="1"/>
  <c r="Q38" i="14"/>
  <c r="V36" i="14"/>
  <c r="W36" i="14" s="1"/>
  <c r="D85" i="14"/>
  <c r="E85" i="14" s="1"/>
  <c r="D92" i="14"/>
  <c r="E92" i="14" s="1"/>
  <c r="D99" i="14"/>
  <c r="E99" i="14" s="1"/>
  <c r="D106" i="14"/>
  <c r="E106" i="14" s="1"/>
  <c r="D113" i="14"/>
  <c r="E113" i="14" s="1"/>
  <c r="D40" i="14"/>
  <c r="D46" i="14"/>
  <c r="D38" i="14"/>
  <c r="D42" i="14"/>
  <c r="D87" i="14"/>
  <c r="E87" i="14" s="1"/>
  <c r="D94" i="14"/>
  <c r="E94" i="14" s="1"/>
  <c r="D101" i="14"/>
  <c r="E101" i="14" s="1"/>
  <c r="D108" i="14"/>
  <c r="E108" i="14" s="1"/>
  <c r="D115" i="14"/>
  <c r="E115" i="14" s="1"/>
  <c r="P32" i="14"/>
  <c r="D91" i="14"/>
  <c r="E91" i="14" s="1"/>
  <c r="D98" i="14"/>
  <c r="E98" i="14" s="1"/>
  <c r="D105" i="14"/>
  <c r="E105" i="14" s="1"/>
  <c r="D112" i="14"/>
  <c r="E112" i="14" s="1"/>
  <c r="B51" i="14"/>
  <c r="D88" i="14"/>
  <c r="E88" i="14" s="1"/>
  <c r="D95" i="14"/>
  <c r="E95" i="14" s="1"/>
  <c r="D102" i="14"/>
  <c r="E102" i="14" s="1"/>
  <c r="U31" i="13"/>
  <c r="V31" i="13" s="1"/>
  <c r="W31" i="13" s="1"/>
  <c r="U36" i="13"/>
  <c r="V36" i="13" s="1"/>
  <c r="W36" i="13" s="1"/>
  <c r="U28" i="13"/>
  <c r="V28" i="13" s="1"/>
  <c r="W28" i="13" s="1"/>
  <c r="U32" i="13"/>
  <c r="V32" i="13" s="1"/>
  <c r="W32" i="13" s="1"/>
  <c r="E51" i="13"/>
  <c r="D113" i="13" s="1"/>
  <c r="E113" i="13" s="1"/>
  <c r="O37" i="13"/>
  <c r="Q37" i="13" s="1"/>
  <c r="D47" i="13"/>
  <c r="P32" i="13"/>
  <c r="R17" i="13"/>
  <c r="R16" i="13"/>
  <c r="R15" i="13"/>
  <c r="S17" i="13"/>
  <c r="T17" i="13" s="1"/>
  <c r="S16" i="13"/>
  <c r="T16" i="13" s="1"/>
  <c r="S15" i="13"/>
  <c r="T15" i="13" s="1"/>
  <c r="B18" i="13" s="1"/>
  <c r="N23" i="13" s="1"/>
  <c r="O23" i="13" s="1"/>
  <c r="J43" i="13"/>
  <c r="J42" i="13"/>
  <c r="B17" i="13"/>
  <c r="U35" i="13"/>
  <c r="V35" i="13" s="1"/>
  <c r="W35" i="13" s="1"/>
  <c r="D42" i="13"/>
  <c r="O28" i="13"/>
  <c r="Q28" i="13" s="1"/>
  <c r="U30" i="13"/>
  <c r="V30" i="13" s="1"/>
  <c r="W30" i="13" s="1"/>
  <c r="U34" i="13"/>
  <c r="V34" i="13" s="1"/>
  <c r="W34" i="13" s="1"/>
  <c r="D46" i="13"/>
  <c r="U29" i="13"/>
  <c r="V29" i="13" s="1"/>
  <c r="W29" i="13" s="1"/>
  <c r="D38" i="13"/>
  <c r="U33" i="13"/>
  <c r="V33" i="13" s="1"/>
  <c r="W33" i="13" s="1"/>
  <c r="U34" i="12"/>
  <c r="U32" i="12"/>
  <c r="V32" i="12" s="1"/>
  <c r="W32" i="12" s="1"/>
  <c r="U28" i="12"/>
  <c r="U36" i="12"/>
  <c r="V36" i="12" s="1"/>
  <c r="W36" i="12" s="1"/>
  <c r="U31" i="12"/>
  <c r="V31" i="12" s="1"/>
  <c r="W31" i="12" s="1"/>
  <c r="U33" i="12"/>
  <c r="V33" i="12" s="1"/>
  <c r="W33" i="12" s="1"/>
  <c r="U29" i="12"/>
  <c r="V29" i="12" s="1"/>
  <c r="W29" i="12" s="1"/>
  <c r="U37" i="12"/>
  <c r="V37" i="12" s="1"/>
  <c r="W37" i="12" s="1"/>
  <c r="V34" i="12"/>
  <c r="W34" i="12" s="1"/>
  <c r="E51" i="12"/>
  <c r="D86" i="12" s="1"/>
  <c r="E86" i="12" s="1"/>
  <c r="O37" i="12"/>
  <c r="Q37" i="12" s="1"/>
  <c r="O35" i="12"/>
  <c r="Q35" i="12" s="1"/>
  <c r="J41" i="12"/>
  <c r="O29" i="12"/>
  <c r="Q29" i="12" s="1"/>
  <c r="P33" i="12"/>
  <c r="R16" i="12"/>
  <c r="S16" i="12" s="1"/>
  <c r="T16" i="12" s="1"/>
  <c r="R15" i="12"/>
  <c r="S15" i="12" s="1"/>
  <c r="T15" i="12" s="1"/>
  <c r="B18" i="12" s="1"/>
  <c r="V28" i="12"/>
  <c r="W28" i="12" s="1"/>
  <c r="J42" i="12"/>
  <c r="J43" i="12"/>
  <c r="O28" i="12"/>
  <c r="Q28" i="12" s="1"/>
  <c r="D38" i="12"/>
  <c r="O32" i="12"/>
  <c r="Q32" i="12" s="1"/>
  <c r="B51" i="12"/>
  <c r="U29" i="11"/>
  <c r="V29" i="11" s="1"/>
  <c r="W29" i="11" s="1"/>
  <c r="U34" i="11"/>
  <c r="V34" i="11" s="1"/>
  <c r="W34" i="11" s="1"/>
  <c r="U32" i="11"/>
  <c r="V32" i="11" s="1"/>
  <c r="W32" i="11" s="1"/>
  <c r="U35" i="11"/>
  <c r="V35" i="11" s="1"/>
  <c r="W35" i="11" s="1"/>
  <c r="U31" i="11"/>
  <c r="V31" i="11" s="1"/>
  <c r="W31" i="11" s="1"/>
  <c r="U28" i="11"/>
  <c r="V28" i="11" s="1"/>
  <c r="W28" i="11" s="1"/>
  <c r="U33" i="11"/>
  <c r="V33" i="11" s="1"/>
  <c r="W33" i="11" s="1"/>
  <c r="U37" i="11"/>
  <c r="V37" i="11" s="1"/>
  <c r="W37" i="11" s="1"/>
  <c r="U36" i="11"/>
  <c r="V36" i="11" s="1"/>
  <c r="W36" i="11" s="1"/>
  <c r="E51" i="11"/>
  <c r="D114" i="11" s="1"/>
  <c r="E114" i="11" s="1"/>
  <c r="O37" i="11"/>
  <c r="Q37" i="11" s="1"/>
  <c r="O29" i="11"/>
  <c r="Q29" i="11" s="1"/>
  <c r="R16" i="11"/>
  <c r="S15" i="11"/>
  <c r="T15" i="11" s="1"/>
  <c r="S16" i="11"/>
  <c r="T16" i="11" s="1"/>
  <c r="S17" i="11"/>
  <c r="T17" i="11" s="1"/>
  <c r="J43" i="11"/>
  <c r="J42" i="11"/>
  <c r="D42" i="11"/>
  <c r="P32" i="11"/>
  <c r="O35" i="11"/>
  <c r="Q35" i="11" s="1"/>
  <c r="Q38" i="11" s="1"/>
  <c r="D38" i="11"/>
  <c r="D40" i="11"/>
  <c r="B51" i="11"/>
  <c r="D46" i="4"/>
  <c r="D42" i="4"/>
  <c r="R17" i="9"/>
  <c r="S17" i="9" s="1"/>
  <c r="R16" i="9"/>
  <c r="U32" i="9"/>
  <c r="V32" i="9" s="1"/>
  <c r="W32" i="9" s="1"/>
  <c r="E51" i="9"/>
  <c r="D109" i="9" s="1"/>
  <c r="E109" i="9" s="1"/>
  <c r="D44" i="9"/>
  <c r="S16" i="9"/>
  <c r="T16" i="9" s="1"/>
  <c r="T15" i="9"/>
  <c r="O29" i="9"/>
  <c r="Q29" i="9" s="1"/>
  <c r="Q37" i="9" s="1"/>
  <c r="U31" i="9"/>
  <c r="V31" i="9" s="1"/>
  <c r="W31" i="9" s="1"/>
  <c r="J41" i="9"/>
  <c r="O33" i="9"/>
  <c r="Q33" i="9" s="1"/>
  <c r="U35" i="9"/>
  <c r="V35" i="9" s="1"/>
  <c r="W35" i="9" s="1"/>
  <c r="D43" i="9"/>
  <c r="U30" i="9"/>
  <c r="V30" i="9" s="1"/>
  <c r="W30" i="9" s="1"/>
  <c r="U34" i="9"/>
  <c r="V34" i="9" s="1"/>
  <c r="W34" i="9" s="1"/>
  <c r="U29" i="9"/>
  <c r="V29" i="9" s="1"/>
  <c r="W29" i="9" s="1"/>
  <c r="U33" i="9"/>
  <c r="V33" i="9" s="1"/>
  <c r="W33" i="9" s="1"/>
  <c r="B51" i="9"/>
  <c r="U36" i="9"/>
  <c r="V36" i="9" s="1"/>
  <c r="W36" i="9" s="1"/>
  <c r="D45" i="8"/>
  <c r="D44" i="8"/>
  <c r="D43" i="8"/>
  <c r="D41" i="8"/>
  <c r="R17" i="8"/>
  <c r="S17" i="8" s="1"/>
  <c r="T17" i="8" s="1"/>
  <c r="T15" i="8"/>
  <c r="B18" i="8" s="1"/>
  <c r="B17" i="8"/>
  <c r="U32" i="8"/>
  <c r="V32" i="8" s="1"/>
  <c r="W32" i="8" s="1"/>
  <c r="E51" i="8"/>
  <c r="J41" i="8"/>
  <c r="D39" i="8"/>
  <c r="U35" i="8"/>
  <c r="V35" i="8" s="1"/>
  <c r="W35" i="8" s="1"/>
  <c r="Q37" i="8"/>
  <c r="U30" i="8"/>
  <c r="V30" i="8" s="1"/>
  <c r="W30" i="8" s="1"/>
  <c r="U31" i="8"/>
  <c r="V31" i="8" s="1"/>
  <c r="W31" i="8" s="1"/>
  <c r="U34" i="8"/>
  <c r="V34" i="8" s="1"/>
  <c r="W34" i="8" s="1"/>
  <c r="U29" i="8"/>
  <c r="V29" i="8" s="1"/>
  <c r="W29" i="8" s="1"/>
  <c r="U36" i="8"/>
  <c r="V36" i="8" s="1"/>
  <c r="W36" i="8" s="1"/>
  <c r="U33" i="8"/>
  <c r="V33" i="8" s="1"/>
  <c r="W33" i="8" s="1"/>
  <c r="B51" i="8"/>
  <c r="U32" i="7"/>
  <c r="V32" i="7" s="1"/>
  <c r="W32" i="7" s="1"/>
  <c r="E51" i="7"/>
  <c r="D109" i="7" s="1"/>
  <c r="E109" i="7" s="1"/>
  <c r="O35" i="7"/>
  <c r="Q35" i="7" s="1"/>
  <c r="R17" i="7"/>
  <c r="S17" i="7" s="1"/>
  <c r="T17" i="7" s="1"/>
  <c r="R15" i="7"/>
  <c r="S15" i="7" s="1"/>
  <c r="T15" i="7" s="1"/>
  <c r="S16" i="7"/>
  <c r="T16" i="7" s="1"/>
  <c r="U31" i="7"/>
  <c r="V31" i="7" s="1"/>
  <c r="W31" i="7" s="1"/>
  <c r="J41" i="7"/>
  <c r="D114" i="7"/>
  <c r="E114" i="7" s="1"/>
  <c r="O33" i="7"/>
  <c r="Q33" i="7" s="1"/>
  <c r="U35" i="7"/>
  <c r="V35" i="7" s="1"/>
  <c r="W35" i="7" s="1"/>
  <c r="D43" i="7"/>
  <c r="O28" i="7"/>
  <c r="Q28" i="7" s="1"/>
  <c r="U30" i="7"/>
  <c r="V30" i="7" s="1"/>
  <c r="W30" i="7" s="1"/>
  <c r="U36" i="7"/>
  <c r="V36" i="7" s="1"/>
  <c r="W36" i="7" s="1"/>
  <c r="U34" i="7"/>
  <c r="V34" i="7" s="1"/>
  <c r="W34" i="7" s="1"/>
  <c r="U29" i="7"/>
  <c r="V29" i="7" s="1"/>
  <c r="W29" i="7" s="1"/>
  <c r="O29" i="7"/>
  <c r="Q29" i="7" s="1"/>
  <c r="O32" i="7"/>
  <c r="Q32" i="7" s="1"/>
  <c r="D106" i="7"/>
  <c r="E106" i="7" s="1"/>
  <c r="D96" i="7"/>
  <c r="E96" i="7" s="1"/>
  <c r="D93" i="7"/>
  <c r="E93" i="7" s="1"/>
  <c r="U33" i="7"/>
  <c r="V33" i="7" s="1"/>
  <c r="W33" i="7" s="1"/>
  <c r="B51" i="7"/>
  <c r="D95" i="7"/>
  <c r="E95" i="7" s="1"/>
  <c r="O34" i="6"/>
  <c r="Q34" i="6" s="1"/>
  <c r="O35" i="6"/>
  <c r="Q35" i="6" s="1"/>
  <c r="D40" i="6"/>
  <c r="O30" i="6"/>
  <c r="Q30" i="6" s="1"/>
  <c r="D41" i="6"/>
  <c r="J41" i="6"/>
  <c r="J43" i="6" s="1"/>
  <c r="R16" i="6"/>
  <c r="S16" i="6" s="1"/>
  <c r="T16" i="6" s="1"/>
  <c r="R15" i="6"/>
  <c r="S15" i="6" s="1"/>
  <c r="R17" i="6"/>
  <c r="S17" i="6" s="1"/>
  <c r="T17" i="6" s="1"/>
  <c r="U34" i="5"/>
  <c r="V34" i="5" s="1"/>
  <c r="W34" i="5" s="1"/>
  <c r="E51" i="5"/>
  <c r="D109" i="5" s="1"/>
  <c r="E109" i="5" s="1"/>
  <c r="U29" i="5"/>
  <c r="V29" i="5" s="1"/>
  <c r="W29" i="5" s="1"/>
  <c r="U32" i="5"/>
  <c r="V32" i="5" s="1"/>
  <c r="W32" i="5" s="1"/>
  <c r="B17" i="6"/>
  <c r="T15" i="6"/>
  <c r="B18" i="6" s="1"/>
  <c r="J42" i="6"/>
  <c r="Q37" i="6"/>
  <c r="U32" i="6"/>
  <c r="V32" i="6" s="1"/>
  <c r="W32" i="6" s="1"/>
  <c r="E51" i="6"/>
  <c r="U30" i="6"/>
  <c r="V30" i="6" s="1"/>
  <c r="W30" i="6" s="1"/>
  <c r="P33" i="6"/>
  <c r="D43" i="6"/>
  <c r="D39" i="6"/>
  <c r="U29" i="6"/>
  <c r="V29" i="6" s="1"/>
  <c r="W29" i="6" s="1"/>
  <c r="U31" i="6"/>
  <c r="V31" i="6" s="1"/>
  <c r="W31" i="6" s="1"/>
  <c r="U36" i="6"/>
  <c r="V36" i="6" s="1"/>
  <c r="W36" i="6" s="1"/>
  <c r="U33" i="6"/>
  <c r="V33" i="6" s="1"/>
  <c r="W33" i="6" s="1"/>
  <c r="B51" i="6"/>
  <c r="U35" i="6"/>
  <c r="V35" i="6" s="1"/>
  <c r="W35" i="6" s="1"/>
  <c r="U34" i="6"/>
  <c r="V34" i="6" s="1"/>
  <c r="W34" i="6" s="1"/>
  <c r="D114" i="4"/>
  <c r="E114" i="4" s="1"/>
  <c r="D115" i="4"/>
  <c r="E115" i="4" s="1"/>
  <c r="D104" i="4"/>
  <c r="E104" i="4" s="1"/>
  <c r="D111" i="4"/>
  <c r="E111" i="4" s="1"/>
  <c r="U35" i="4"/>
  <c r="V35" i="4" s="1"/>
  <c r="W35" i="4" s="1"/>
  <c r="U34" i="4"/>
  <c r="V34" i="4" s="1"/>
  <c r="W34" i="4" s="1"/>
  <c r="U36" i="4"/>
  <c r="V36" i="4" s="1"/>
  <c r="W36" i="4" s="1"/>
  <c r="U32" i="4"/>
  <c r="V32" i="4" s="1"/>
  <c r="W32" i="4" s="1"/>
  <c r="U30" i="4"/>
  <c r="V30" i="4" s="1"/>
  <c r="W30" i="4" s="1"/>
  <c r="U31" i="4"/>
  <c r="V31" i="4" s="1"/>
  <c r="W31" i="4" s="1"/>
  <c r="U37" i="4"/>
  <c r="V37" i="4" s="1"/>
  <c r="W37" i="4" s="1"/>
  <c r="U29" i="4"/>
  <c r="V29" i="4" s="1"/>
  <c r="W29" i="4" s="1"/>
  <c r="U28" i="4"/>
  <c r="V28" i="4" s="1"/>
  <c r="W28" i="4" s="1"/>
  <c r="U33" i="4"/>
  <c r="V33" i="4" s="1"/>
  <c r="W33" i="4" s="1"/>
  <c r="D90" i="4"/>
  <c r="E90" i="4" s="1"/>
  <c r="D97" i="4"/>
  <c r="E97" i="4" s="1"/>
  <c r="P33" i="5"/>
  <c r="R16" i="5"/>
  <c r="S16" i="5" s="1"/>
  <c r="T16" i="5" s="1"/>
  <c r="R15" i="5"/>
  <c r="S15" i="5"/>
  <c r="T15" i="5" s="1"/>
  <c r="S17" i="5"/>
  <c r="T17" i="5" s="1"/>
  <c r="J42" i="5"/>
  <c r="J43" i="5"/>
  <c r="U36" i="5"/>
  <c r="V36" i="5" s="1"/>
  <c r="W36" i="5" s="1"/>
  <c r="D39" i="5"/>
  <c r="D96" i="5"/>
  <c r="E96" i="5" s="1"/>
  <c r="D103" i="5"/>
  <c r="E103" i="5" s="1"/>
  <c r="U31" i="5"/>
  <c r="V31" i="5" s="1"/>
  <c r="W31" i="5" s="1"/>
  <c r="D86" i="5"/>
  <c r="E86" i="5" s="1"/>
  <c r="O33" i="5"/>
  <c r="Q33" i="5" s="1"/>
  <c r="Q37" i="5" s="1"/>
  <c r="U35" i="5"/>
  <c r="V35" i="5" s="1"/>
  <c r="W35" i="5" s="1"/>
  <c r="U30" i="5"/>
  <c r="V30" i="5" s="1"/>
  <c r="W30" i="5" s="1"/>
  <c r="U33" i="5"/>
  <c r="V33" i="5" s="1"/>
  <c r="W33" i="5" s="1"/>
  <c r="B51" i="5"/>
  <c r="D95" i="5"/>
  <c r="E95" i="5" s="1"/>
  <c r="D102" i="5"/>
  <c r="E102" i="5" s="1"/>
  <c r="J41" i="4"/>
  <c r="O36" i="4"/>
  <c r="Q36" i="4" s="1"/>
  <c r="R16" i="4"/>
  <c r="R15" i="4"/>
  <c r="S15" i="4"/>
  <c r="S17" i="4"/>
  <c r="T17" i="4" s="1"/>
  <c r="S16" i="4"/>
  <c r="T16" i="4" s="1"/>
  <c r="T15" i="4"/>
  <c r="D40" i="4"/>
  <c r="D44" i="4"/>
  <c r="D87" i="4"/>
  <c r="E87" i="4" s="1"/>
  <c r="D94" i="4"/>
  <c r="E94" i="4" s="1"/>
  <c r="D108" i="4"/>
  <c r="E108" i="4" s="1"/>
  <c r="D91" i="4"/>
  <c r="E91" i="4" s="1"/>
  <c r="D98" i="4"/>
  <c r="E98" i="4" s="1"/>
  <c r="D112" i="4"/>
  <c r="E112" i="4" s="1"/>
  <c r="B51" i="4"/>
  <c r="D38" i="4"/>
  <c r="D101" i="4"/>
  <c r="E101" i="4" s="1"/>
  <c r="D105" i="4"/>
  <c r="E105" i="4" s="1"/>
  <c r="D88" i="4"/>
  <c r="E88" i="4" s="1"/>
  <c r="D95" i="4"/>
  <c r="E95" i="4" s="1"/>
  <c r="D102" i="4"/>
  <c r="E102" i="4" s="1"/>
  <c r="D109" i="4"/>
  <c r="E109" i="4" s="1"/>
  <c r="O31" i="4"/>
  <c r="Q31" i="4" s="1"/>
  <c r="D89" i="4"/>
  <c r="E89" i="4" s="1"/>
  <c r="D96" i="4"/>
  <c r="E96" i="4" s="1"/>
  <c r="D103" i="4"/>
  <c r="E103" i="4" s="1"/>
  <c r="D110" i="4"/>
  <c r="E110" i="4" s="1"/>
  <c r="D85" i="4"/>
  <c r="E85" i="4" s="1"/>
  <c r="D92" i="4"/>
  <c r="E92" i="4" s="1"/>
  <c r="D99" i="4"/>
  <c r="E99" i="4" s="1"/>
  <c r="D106" i="4"/>
  <c r="E106" i="4" s="1"/>
  <c r="D113" i="4"/>
  <c r="E113" i="4" s="1"/>
  <c r="D86" i="4"/>
  <c r="E86" i="4" s="1"/>
  <c r="D93" i="4"/>
  <c r="E93" i="4" s="1"/>
  <c r="D100" i="4"/>
  <c r="E100" i="4" s="1"/>
  <c r="D107" i="4"/>
  <c r="E107" i="4" s="1"/>
  <c r="J44" i="2"/>
  <c r="J42" i="2"/>
  <c r="D113" i="20" l="1"/>
  <c r="E113" i="20" s="1"/>
  <c r="D112" i="20"/>
  <c r="E112" i="20" s="1"/>
  <c r="D105" i="20"/>
  <c r="E105" i="20" s="1"/>
  <c r="D91" i="20"/>
  <c r="E91" i="20" s="1"/>
  <c r="D108" i="20"/>
  <c r="E108" i="20" s="1"/>
  <c r="D106" i="20"/>
  <c r="E106" i="20" s="1"/>
  <c r="D111" i="20"/>
  <c r="E111" i="20" s="1"/>
  <c r="D97" i="20"/>
  <c r="E97" i="20" s="1"/>
  <c r="D98" i="20"/>
  <c r="E98" i="20" s="1"/>
  <c r="D92" i="20"/>
  <c r="E92" i="20" s="1"/>
  <c r="D99" i="20"/>
  <c r="E99" i="20" s="1"/>
  <c r="D85" i="20"/>
  <c r="E85" i="20" s="1"/>
  <c r="D115" i="20"/>
  <c r="E115" i="20" s="1"/>
  <c r="D104" i="20"/>
  <c r="E104" i="20" s="1"/>
  <c r="D101" i="20"/>
  <c r="E101" i="20" s="1"/>
  <c r="D90" i="20"/>
  <c r="E90" i="20" s="1"/>
  <c r="D94" i="20"/>
  <c r="E94" i="20" s="1"/>
  <c r="D87" i="20"/>
  <c r="E87" i="20" s="1"/>
  <c r="D100" i="20"/>
  <c r="E100" i="20" s="1"/>
  <c r="D107" i="20"/>
  <c r="E107" i="20" s="1"/>
  <c r="D102" i="20"/>
  <c r="E102" i="20" s="1"/>
  <c r="D110" i="20"/>
  <c r="E110" i="20" s="1"/>
  <c r="D86" i="20"/>
  <c r="E86" i="20" s="1"/>
  <c r="D95" i="20"/>
  <c r="E95" i="20" s="1"/>
  <c r="D103" i="20"/>
  <c r="E103" i="20" s="1"/>
  <c r="D88" i="20"/>
  <c r="E88" i="20" s="1"/>
  <c r="D114" i="20"/>
  <c r="E114" i="20" s="1"/>
  <c r="D96" i="20"/>
  <c r="E96" i="20" s="1"/>
  <c r="D93" i="20"/>
  <c r="E93" i="20" s="1"/>
  <c r="D89" i="20"/>
  <c r="E89" i="20" s="1"/>
  <c r="T15" i="20"/>
  <c r="B18" i="20" s="1"/>
  <c r="N23" i="20" s="1"/>
  <c r="O23" i="20" s="1"/>
  <c r="D100" i="13"/>
  <c r="E100" i="13" s="1"/>
  <c r="D104" i="19"/>
  <c r="E104" i="19" s="1"/>
  <c r="D93" i="19"/>
  <c r="E93" i="19" s="1"/>
  <c r="D97" i="19"/>
  <c r="E97" i="19" s="1"/>
  <c r="D90" i="19"/>
  <c r="E90" i="19" s="1"/>
  <c r="D96" i="19"/>
  <c r="E96" i="19" s="1"/>
  <c r="D86" i="19"/>
  <c r="E86" i="19" s="1"/>
  <c r="D115" i="19"/>
  <c r="E115" i="19" s="1"/>
  <c r="D110" i="19"/>
  <c r="E110" i="19" s="1"/>
  <c r="D108" i="19"/>
  <c r="E108" i="19" s="1"/>
  <c r="D101" i="19"/>
  <c r="E101" i="19" s="1"/>
  <c r="D89" i="19"/>
  <c r="E89" i="19" s="1"/>
  <c r="D102" i="19"/>
  <c r="E102" i="19" s="1"/>
  <c r="D94" i="19"/>
  <c r="E94" i="19" s="1"/>
  <c r="D95" i="19"/>
  <c r="E95" i="19" s="1"/>
  <c r="D87" i="19"/>
  <c r="E87" i="19" s="1"/>
  <c r="D113" i="19"/>
  <c r="E113" i="19" s="1"/>
  <c r="D88" i="19"/>
  <c r="E88" i="19" s="1"/>
  <c r="D106" i="19"/>
  <c r="E106" i="19" s="1"/>
  <c r="D112" i="19"/>
  <c r="E112" i="19" s="1"/>
  <c r="D103" i="19"/>
  <c r="E103" i="19" s="1"/>
  <c r="D99" i="19"/>
  <c r="E99" i="19" s="1"/>
  <c r="D98" i="19"/>
  <c r="E98" i="19" s="1"/>
  <c r="D111" i="19"/>
  <c r="E111" i="19" s="1"/>
  <c r="D114" i="19"/>
  <c r="E114" i="19" s="1"/>
  <c r="D92" i="19"/>
  <c r="E92" i="19" s="1"/>
  <c r="N23" i="19"/>
  <c r="O23" i="19" s="1"/>
  <c r="Q37" i="19"/>
  <c r="J42" i="19"/>
  <c r="J43" i="19"/>
  <c r="B18" i="18"/>
  <c r="B17" i="18"/>
  <c r="J42" i="18"/>
  <c r="J43" i="18"/>
  <c r="D109" i="18"/>
  <c r="E109" i="18" s="1"/>
  <c r="D102" i="18"/>
  <c r="E102" i="18" s="1"/>
  <c r="D95" i="18"/>
  <c r="E95" i="18" s="1"/>
  <c r="D88" i="18"/>
  <c r="E88" i="18" s="1"/>
  <c r="D105" i="18"/>
  <c r="E105" i="18" s="1"/>
  <c r="D98" i="18"/>
  <c r="E98" i="18" s="1"/>
  <c r="D91" i="18"/>
  <c r="E91" i="18" s="1"/>
  <c r="D112" i="18"/>
  <c r="E112" i="18" s="1"/>
  <c r="D115" i="18"/>
  <c r="E115" i="18" s="1"/>
  <c r="D108" i="18"/>
  <c r="E108" i="18" s="1"/>
  <c r="D101" i="18"/>
  <c r="E101" i="18" s="1"/>
  <c r="D94" i="18"/>
  <c r="E94" i="18" s="1"/>
  <c r="D87" i="18"/>
  <c r="E87" i="18" s="1"/>
  <c r="D96" i="18"/>
  <c r="E96" i="18" s="1"/>
  <c r="D111" i="18"/>
  <c r="E111" i="18" s="1"/>
  <c r="D104" i="18"/>
  <c r="E104" i="18" s="1"/>
  <c r="D97" i="18"/>
  <c r="E97" i="18" s="1"/>
  <c r="D90" i="18"/>
  <c r="E90" i="18" s="1"/>
  <c r="D110" i="18"/>
  <c r="E110" i="18" s="1"/>
  <c r="D89" i="18"/>
  <c r="E89" i="18" s="1"/>
  <c r="D114" i="18"/>
  <c r="E114" i="18" s="1"/>
  <c r="D107" i="18"/>
  <c r="E107" i="18" s="1"/>
  <c r="D100" i="18"/>
  <c r="E100" i="18" s="1"/>
  <c r="D93" i="18"/>
  <c r="E93" i="18" s="1"/>
  <c r="D86" i="18"/>
  <c r="E86" i="18" s="1"/>
  <c r="D103" i="18"/>
  <c r="E103" i="18" s="1"/>
  <c r="D113" i="18"/>
  <c r="E113" i="18" s="1"/>
  <c r="D106" i="18"/>
  <c r="E106" i="18" s="1"/>
  <c r="D99" i="18"/>
  <c r="E99" i="18" s="1"/>
  <c r="D92" i="18"/>
  <c r="E92" i="18" s="1"/>
  <c r="D85" i="18"/>
  <c r="E85" i="18" s="1"/>
  <c r="D109" i="17"/>
  <c r="E109" i="17" s="1"/>
  <c r="D102" i="17"/>
  <c r="E102" i="17" s="1"/>
  <c r="D95" i="17"/>
  <c r="E95" i="17" s="1"/>
  <c r="D88" i="17"/>
  <c r="E88" i="17" s="1"/>
  <c r="D112" i="17"/>
  <c r="E112" i="17" s="1"/>
  <c r="D105" i="17"/>
  <c r="E105" i="17" s="1"/>
  <c r="D98" i="17"/>
  <c r="E98" i="17" s="1"/>
  <c r="D91" i="17"/>
  <c r="E91" i="17" s="1"/>
  <c r="D115" i="17"/>
  <c r="E115" i="17" s="1"/>
  <c r="D103" i="17"/>
  <c r="E103" i="17" s="1"/>
  <c r="D108" i="17"/>
  <c r="E108" i="17" s="1"/>
  <c r="D101" i="17"/>
  <c r="E101" i="17" s="1"/>
  <c r="D94" i="17"/>
  <c r="E94" i="17" s="1"/>
  <c r="D87" i="17"/>
  <c r="E87" i="17" s="1"/>
  <c r="D89" i="17"/>
  <c r="E89" i="17" s="1"/>
  <c r="D114" i="17"/>
  <c r="E114" i="17" s="1"/>
  <c r="D86" i="17"/>
  <c r="E86" i="17" s="1"/>
  <c r="D110" i="17"/>
  <c r="E110" i="17" s="1"/>
  <c r="D96" i="17"/>
  <c r="E96" i="17" s="1"/>
  <c r="D111" i="17"/>
  <c r="E111" i="17" s="1"/>
  <c r="D104" i="17"/>
  <c r="E104" i="17" s="1"/>
  <c r="D97" i="17"/>
  <c r="E97" i="17" s="1"/>
  <c r="D90" i="17"/>
  <c r="E90" i="17" s="1"/>
  <c r="D107" i="17"/>
  <c r="E107" i="17" s="1"/>
  <c r="D100" i="17"/>
  <c r="E100" i="17" s="1"/>
  <c r="D93" i="17"/>
  <c r="E93" i="17" s="1"/>
  <c r="D113" i="17"/>
  <c r="E113" i="17" s="1"/>
  <c r="D106" i="17"/>
  <c r="E106" i="17" s="1"/>
  <c r="D99" i="17"/>
  <c r="E99" i="17" s="1"/>
  <c r="D92" i="17"/>
  <c r="E92" i="17" s="1"/>
  <c r="D85" i="17"/>
  <c r="E85" i="17" s="1"/>
  <c r="J43" i="17"/>
  <c r="J42" i="17"/>
  <c r="N23" i="17"/>
  <c r="O23" i="17" s="1"/>
  <c r="T15" i="16"/>
  <c r="B18" i="16" s="1"/>
  <c r="N23" i="16" s="1"/>
  <c r="O23" i="16" s="1"/>
  <c r="A51" i="16" s="1"/>
  <c r="B17" i="16"/>
  <c r="Q37" i="16"/>
  <c r="D109" i="16"/>
  <c r="E109" i="16" s="1"/>
  <c r="D102" i="16"/>
  <c r="E102" i="16" s="1"/>
  <c r="D95" i="16"/>
  <c r="E95" i="16" s="1"/>
  <c r="D88" i="16"/>
  <c r="E88" i="16" s="1"/>
  <c r="D107" i="16"/>
  <c r="E107" i="16" s="1"/>
  <c r="D96" i="16"/>
  <c r="E96" i="16" s="1"/>
  <c r="D112" i="16"/>
  <c r="E112" i="16" s="1"/>
  <c r="D105" i="16"/>
  <c r="E105" i="16" s="1"/>
  <c r="D98" i="16"/>
  <c r="E98" i="16" s="1"/>
  <c r="D91" i="16"/>
  <c r="E91" i="16" s="1"/>
  <c r="D115" i="16"/>
  <c r="E115" i="16" s="1"/>
  <c r="D89" i="16"/>
  <c r="E89" i="16" s="1"/>
  <c r="D108" i="16"/>
  <c r="E108" i="16" s="1"/>
  <c r="D101" i="16"/>
  <c r="E101" i="16" s="1"/>
  <c r="D94" i="16"/>
  <c r="E94" i="16" s="1"/>
  <c r="D87" i="16"/>
  <c r="E87" i="16" s="1"/>
  <c r="D111" i="16"/>
  <c r="E111" i="16" s="1"/>
  <c r="D104" i="16"/>
  <c r="E104" i="16" s="1"/>
  <c r="D97" i="16"/>
  <c r="E97" i="16" s="1"/>
  <c r="D90" i="16"/>
  <c r="E90" i="16" s="1"/>
  <c r="D103" i="16"/>
  <c r="E103" i="16" s="1"/>
  <c r="D114" i="16"/>
  <c r="E114" i="16" s="1"/>
  <c r="D100" i="16"/>
  <c r="E100" i="16" s="1"/>
  <c r="D93" i="16"/>
  <c r="E93" i="16" s="1"/>
  <c r="D86" i="16"/>
  <c r="E86" i="16" s="1"/>
  <c r="D110" i="16"/>
  <c r="E110" i="16" s="1"/>
  <c r="D113" i="16"/>
  <c r="E113" i="16" s="1"/>
  <c r="D106" i="16"/>
  <c r="E106" i="16" s="1"/>
  <c r="D99" i="16"/>
  <c r="E99" i="16" s="1"/>
  <c r="D92" i="16"/>
  <c r="E92" i="16" s="1"/>
  <c r="D85" i="16"/>
  <c r="E85" i="16" s="1"/>
  <c r="B17" i="14"/>
  <c r="N23" i="14" s="1"/>
  <c r="O23" i="14" s="1"/>
  <c r="D93" i="13"/>
  <c r="E93" i="13" s="1"/>
  <c r="D86" i="13"/>
  <c r="E86" i="13" s="1"/>
  <c r="D110" i="13"/>
  <c r="E110" i="13" s="1"/>
  <c r="D105" i="13"/>
  <c r="E105" i="13" s="1"/>
  <c r="D98" i="13"/>
  <c r="E98" i="13" s="1"/>
  <c r="D112" i="13"/>
  <c r="E112" i="13" s="1"/>
  <c r="D96" i="13"/>
  <c r="E96" i="13" s="1"/>
  <c r="D107" i="13"/>
  <c r="E107" i="13" s="1"/>
  <c r="D91" i="13"/>
  <c r="E91" i="13" s="1"/>
  <c r="D89" i="13"/>
  <c r="E89" i="13" s="1"/>
  <c r="D111" i="13"/>
  <c r="E111" i="13" s="1"/>
  <c r="D106" i="13"/>
  <c r="E106" i="13" s="1"/>
  <c r="D104" i="13"/>
  <c r="E104" i="13" s="1"/>
  <c r="D97" i="13"/>
  <c r="E97" i="13" s="1"/>
  <c r="D90" i="13"/>
  <c r="E90" i="13" s="1"/>
  <c r="D95" i="13"/>
  <c r="E95" i="13" s="1"/>
  <c r="D102" i="13"/>
  <c r="E102" i="13" s="1"/>
  <c r="D88" i="13"/>
  <c r="E88" i="13" s="1"/>
  <c r="D103" i="13"/>
  <c r="E103" i="13" s="1"/>
  <c r="D115" i="13"/>
  <c r="E115" i="13" s="1"/>
  <c r="D109" i="13"/>
  <c r="E109" i="13" s="1"/>
  <c r="D85" i="13"/>
  <c r="E85" i="13" s="1"/>
  <c r="D99" i="13"/>
  <c r="E99" i="13" s="1"/>
  <c r="D108" i="13"/>
  <c r="E108" i="13" s="1"/>
  <c r="D92" i="13"/>
  <c r="E92" i="13" s="1"/>
  <c r="D101" i="13"/>
  <c r="E101" i="13" s="1"/>
  <c r="D94" i="13"/>
  <c r="E94" i="13" s="1"/>
  <c r="D87" i="13"/>
  <c r="E87" i="13" s="1"/>
  <c r="D114" i="13"/>
  <c r="E114" i="13" s="1"/>
  <c r="Q38" i="13"/>
  <c r="P23" i="13"/>
  <c r="A51" i="13"/>
  <c r="D104" i="12"/>
  <c r="E104" i="12" s="1"/>
  <c r="D97" i="12"/>
  <c r="E97" i="12" s="1"/>
  <c r="D90" i="12"/>
  <c r="E90" i="12" s="1"/>
  <c r="D112" i="12"/>
  <c r="E112" i="12" s="1"/>
  <c r="D87" i="12"/>
  <c r="E87" i="12" s="1"/>
  <c r="D105" i="12"/>
  <c r="E105" i="12" s="1"/>
  <c r="D103" i="12"/>
  <c r="E103" i="12" s="1"/>
  <c r="D111" i="12"/>
  <c r="E111" i="12" s="1"/>
  <c r="D95" i="12"/>
  <c r="E95" i="12" s="1"/>
  <c r="D88" i="12"/>
  <c r="E88" i="12" s="1"/>
  <c r="D85" i="12"/>
  <c r="E85" i="12" s="1"/>
  <c r="D114" i="12"/>
  <c r="E114" i="12" s="1"/>
  <c r="D98" i="12"/>
  <c r="E98" i="12" s="1"/>
  <c r="D110" i="12"/>
  <c r="E110" i="12" s="1"/>
  <c r="D91" i="12"/>
  <c r="E91" i="12" s="1"/>
  <c r="D115" i="12"/>
  <c r="E115" i="12" s="1"/>
  <c r="D107" i="12"/>
  <c r="E107" i="12" s="1"/>
  <c r="D108" i="12"/>
  <c r="E108" i="12" s="1"/>
  <c r="D100" i="12"/>
  <c r="E100" i="12" s="1"/>
  <c r="D101" i="12"/>
  <c r="E101" i="12" s="1"/>
  <c r="D93" i="12"/>
  <c r="E93" i="12" s="1"/>
  <c r="D94" i="12"/>
  <c r="E94" i="12" s="1"/>
  <c r="D109" i="12"/>
  <c r="E109" i="12" s="1"/>
  <c r="D106" i="12"/>
  <c r="E106" i="12" s="1"/>
  <c r="D99" i="12"/>
  <c r="E99" i="12" s="1"/>
  <c r="D92" i="12"/>
  <c r="E92" i="12" s="1"/>
  <c r="D89" i="12"/>
  <c r="E89" i="12" s="1"/>
  <c r="D102" i="12"/>
  <c r="E102" i="12" s="1"/>
  <c r="D96" i="12"/>
  <c r="E96" i="12" s="1"/>
  <c r="D113" i="12"/>
  <c r="E113" i="12" s="1"/>
  <c r="B17" i="12"/>
  <c r="N23" i="12" s="1"/>
  <c r="O23" i="12" s="1"/>
  <c r="Q38" i="12"/>
  <c r="D91" i="11"/>
  <c r="E91" i="11" s="1"/>
  <c r="D98" i="11"/>
  <c r="E98" i="11" s="1"/>
  <c r="D105" i="11"/>
  <c r="E105" i="11" s="1"/>
  <c r="D97" i="11"/>
  <c r="E97" i="11" s="1"/>
  <c r="D104" i="11"/>
  <c r="E104" i="11" s="1"/>
  <c r="D102" i="11"/>
  <c r="E102" i="11" s="1"/>
  <c r="D95" i="11"/>
  <c r="E95" i="11" s="1"/>
  <c r="D90" i="11"/>
  <c r="E90" i="11" s="1"/>
  <c r="D88" i="11"/>
  <c r="E88" i="11" s="1"/>
  <c r="D112" i="11"/>
  <c r="E112" i="11" s="1"/>
  <c r="D109" i="11"/>
  <c r="E109" i="11" s="1"/>
  <c r="D106" i="11"/>
  <c r="E106" i="11" s="1"/>
  <c r="D99" i="11"/>
  <c r="E99" i="11" s="1"/>
  <c r="D107" i="11"/>
  <c r="E107" i="11" s="1"/>
  <c r="D110" i="11"/>
  <c r="E110" i="11" s="1"/>
  <c r="D115" i="11"/>
  <c r="E115" i="11" s="1"/>
  <c r="D100" i="11"/>
  <c r="E100" i="11" s="1"/>
  <c r="D86" i="11"/>
  <c r="E86" i="11" s="1"/>
  <c r="D101" i="11"/>
  <c r="E101" i="11" s="1"/>
  <c r="D87" i="11"/>
  <c r="E87" i="11" s="1"/>
  <c r="D103" i="11"/>
  <c r="E103" i="11" s="1"/>
  <c r="D85" i="11"/>
  <c r="E85" i="11" s="1"/>
  <c r="D93" i="11"/>
  <c r="E93" i="11" s="1"/>
  <c r="D96" i="11"/>
  <c r="E96" i="11" s="1"/>
  <c r="D89" i="11"/>
  <c r="E89" i="11" s="1"/>
  <c r="D108" i="11"/>
  <c r="E108" i="11" s="1"/>
  <c r="D94" i="11"/>
  <c r="E94" i="11" s="1"/>
  <c r="D113" i="11"/>
  <c r="E113" i="11" s="1"/>
  <c r="D92" i="11"/>
  <c r="E92" i="11" s="1"/>
  <c r="D111" i="11"/>
  <c r="E111" i="11" s="1"/>
  <c r="B18" i="11"/>
  <c r="B17" i="11"/>
  <c r="N23" i="11" s="1"/>
  <c r="O23" i="11" s="1"/>
  <c r="D110" i="9"/>
  <c r="E110" i="9" s="1"/>
  <c r="D95" i="9"/>
  <c r="E95" i="9" s="1"/>
  <c r="D86" i="9"/>
  <c r="E86" i="9" s="1"/>
  <c r="T17" i="9"/>
  <c r="B17" i="9"/>
  <c r="D108" i="9"/>
  <c r="E108" i="9" s="1"/>
  <c r="D112" i="9"/>
  <c r="E112" i="9" s="1"/>
  <c r="D98" i="9"/>
  <c r="E98" i="9" s="1"/>
  <c r="D96" i="9"/>
  <c r="E96" i="9" s="1"/>
  <c r="D94" i="9"/>
  <c r="E94" i="9" s="1"/>
  <c r="D87" i="9"/>
  <c r="E87" i="9" s="1"/>
  <c r="D104" i="9"/>
  <c r="E104" i="9" s="1"/>
  <c r="D89" i="9"/>
  <c r="E89" i="9" s="1"/>
  <c r="D88" i="9"/>
  <c r="E88" i="9" s="1"/>
  <c r="D113" i="9"/>
  <c r="E113" i="9" s="1"/>
  <c r="D102" i="9"/>
  <c r="E102" i="9" s="1"/>
  <c r="D111" i="9"/>
  <c r="E111" i="9" s="1"/>
  <c r="D97" i="9"/>
  <c r="E97" i="9" s="1"/>
  <c r="D90" i="9"/>
  <c r="E90" i="9" s="1"/>
  <c r="D105" i="9"/>
  <c r="E105" i="9" s="1"/>
  <c r="D91" i="9"/>
  <c r="E91" i="9" s="1"/>
  <c r="D115" i="9"/>
  <c r="E115" i="9" s="1"/>
  <c r="D107" i="9"/>
  <c r="E107" i="9" s="1"/>
  <c r="D101" i="9"/>
  <c r="E101" i="9" s="1"/>
  <c r="D100" i="9"/>
  <c r="E100" i="9" s="1"/>
  <c r="D103" i="9"/>
  <c r="E103" i="9" s="1"/>
  <c r="D114" i="9"/>
  <c r="E114" i="9" s="1"/>
  <c r="D99" i="9"/>
  <c r="E99" i="9" s="1"/>
  <c r="D93" i="9"/>
  <c r="E93" i="9" s="1"/>
  <c r="D106" i="9"/>
  <c r="E106" i="9" s="1"/>
  <c r="D92" i="9"/>
  <c r="E92" i="9" s="1"/>
  <c r="D85" i="9"/>
  <c r="E85" i="9" s="1"/>
  <c r="B18" i="9"/>
  <c r="N23" i="9" s="1"/>
  <c r="O23" i="9" s="1"/>
  <c r="J42" i="9"/>
  <c r="J43" i="9"/>
  <c r="N23" i="8"/>
  <c r="O23" i="8" s="1"/>
  <c r="J42" i="8"/>
  <c r="J43" i="8"/>
  <c r="D109" i="8"/>
  <c r="E109" i="8" s="1"/>
  <c r="D102" i="8"/>
  <c r="E102" i="8" s="1"/>
  <c r="D95" i="8"/>
  <c r="E95" i="8" s="1"/>
  <c r="D88" i="8"/>
  <c r="E88" i="8" s="1"/>
  <c r="D96" i="8"/>
  <c r="E96" i="8" s="1"/>
  <c r="D112" i="8"/>
  <c r="E112" i="8" s="1"/>
  <c r="D105" i="8"/>
  <c r="E105" i="8" s="1"/>
  <c r="D98" i="8"/>
  <c r="E98" i="8" s="1"/>
  <c r="D91" i="8"/>
  <c r="E91" i="8" s="1"/>
  <c r="D89" i="8"/>
  <c r="E89" i="8" s="1"/>
  <c r="D115" i="8"/>
  <c r="E115" i="8" s="1"/>
  <c r="D108" i="8"/>
  <c r="E108" i="8" s="1"/>
  <c r="D101" i="8"/>
  <c r="E101" i="8" s="1"/>
  <c r="D94" i="8"/>
  <c r="E94" i="8" s="1"/>
  <c r="D87" i="8"/>
  <c r="E87" i="8" s="1"/>
  <c r="D111" i="8"/>
  <c r="E111" i="8" s="1"/>
  <c r="D104" i="8"/>
  <c r="E104" i="8" s="1"/>
  <c r="D97" i="8"/>
  <c r="E97" i="8" s="1"/>
  <c r="D90" i="8"/>
  <c r="E90" i="8" s="1"/>
  <c r="D110" i="8"/>
  <c r="E110" i="8" s="1"/>
  <c r="D114" i="8"/>
  <c r="E114" i="8" s="1"/>
  <c r="D107" i="8"/>
  <c r="E107" i="8" s="1"/>
  <c r="D100" i="8"/>
  <c r="E100" i="8" s="1"/>
  <c r="D93" i="8"/>
  <c r="E93" i="8" s="1"/>
  <c r="D86" i="8"/>
  <c r="E86" i="8" s="1"/>
  <c r="D103" i="8"/>
  <c r="E103" i="8" s="1"/>
  <c r="D113" i="8"/>
  <c r="E113" i="8" s="1"/>
  <c r="D106" i="8"/>
  <c r="E106" i="8" s="1"/>
  <c r="D99" i="8"/>
  <c r="E99" i="8" s="1"/>
  <c r="D92" i="8"/>
  <c r="E92" i="8" s="1"/>
  <c r="D85" i="8"/>
  <c r="E85" i="8" s="1"/>
  <c r="D112" i="7"/>
  <c r="E112" i="7" s="1"/>
  <c r="D115" i="7"/>
  <c r="E115" i="7" s="1"/>
  <c r="D113" i="7"/>
  <c r="E113" i="7" s="1"/>
  <c r="D92" i="7"/>
  <c r="E92" i="7" s="1"/>
  <c r="D102" i="7"/>
  <c r="E102" i="7" s="1"/>
  <c r="D85" i="7"/>
  <c r="E85" i="7" s="1"/>
  <c r="D88" i="7"/>
  <c r="E88" i="7" s="1"/>
  <c r="D108" i="7"/>
  <c r="E108" i="7" s="1"/>
  <c r="D101" i="7"/>
  <c r="E101" i="7" s="1"/>
  <c r="D86" i="7"/>
  <c r="E86" i="7" s="1"/>
  <c r="D103" i="7"/>
  <c r="E103" i="7" s="1"/>
  <c r="D105" i="7"/>
  <c r="E105" i="7" s="1"/>
  <c r="D111" i="7"/>
  <c r="E111" i="7" s="1"/>
  <c r="D98" i="7"/>
  <c r="E98" i="7" s="1"/>
  <c r="D97" i="7"/>
  <c r="E97" i="7" s="1"/>
  <c r="D91" i="7"/>
  <c r="E91" i="7" s="1"/>
  <c r="D87" i="7"/>
  <c r="E87" i="7" s="1"/>
  <c r="D94" i="7"/>
  <c r="E94" i="7" s="1"/>
  <c r="D107" i="7"/>
  <c r="E107" i="7" s="1"/>
  <c r="D104" i="7"/>
  <c r="E104" i="7" s="1"/>
  <c r="D89" i="7"/>
  <c r="E89" i="7" s="1"/>
  <c r="D100" i="7"/>
  <c r="E100" i="7" s="1"/>
  <c r="D99" i="7"/>
  <c r="E99" i="7" s="1"/>
  <c r="D90" i="7"/>
  <c r="E90" i="7" s="1"/>
  <c r="D110" i="7"/>
  <c r="E110" i="7" s="1"/>
  <c r="B18" i="7"/>
  <c r="B17" i="7"/>
  <c r="Q37" i="7"/>
  <c r="J42" i="7"/>
  <c r="J43" i="7"/>
  <c r="N23" i="6"/>
  <c r="O23" i="6" s="1"/>
  <c r="D89" i="5"/>
  <c r="E89" i="5" s="1"/>
  <c r="D112" i="5"/>
  <c r="E112" i="5" s="1"/>
  <c r="D105" i="5"/>
  <c r="E105" i="5" s="1"/>
  <c r="D97" i="5"/>
  <c r="E97" i="5" s="1"/>
  <c r="D85" i="5"/>
  <c r="E85" i="5" s="1"/>
  <c r="D94" i="5"/>
  <c r="E94" i="5" s="1"/>
  <c r="D87" i="5"/>
  <c r="E87" i="5" s="1"/>
  <c r="D99" i="5"/>
  <c r="E99" i="5" s="1"/>
  <c r="D113" i="5"/>
  <c r="E113" i="5" s="1"/>
  <c r="D114" i="5"/>
  <c r="E114" i="5" s="1"/>
  <c r="D100" i="5"/>
  <c r="E100" i="5" s="1"/>
  <c r="D107" i="5"/>
  <c r="E107" i="5" s="1"/>
  <c r="D88" i="5"/>
  <c r="E88" i="5" s="1"/>
  <c r="D93" i="5"/>
  <c r="E93" i="5" s="1"/>
  <c r="D108" i="5"/>
  <c r="E108" i="5" s="1"/>
  <c r="D101" i="5"/>
  <c r="E101" i="5" s="1"/>
  <c r="D115" i="5"/>
  <c r="E115" i="5" s="1"/>
  <c r="D98" i="5"/>
  <c r="E98" i="5" s="1"/>
  <c r="D106" i="5"/>
  <c r="E106" i="5" s="1"/>
  <c r="D91" i="5"/>
  <c r="E91" i="5" s="1"/>
  <c r="D111" i="5"/>
  <c r="E111" i="5" s="1"/>
  <c r="D92" i="5"/>
  <c r="E92" i="5" s="1"/>
  <c r="D90" i="5"/>
  <c r="E90" i="5" s="1"/>
  <c r="D110" i="5"/>
  <c r="E110" i="5" s="1"/>
  <c r="D104" i="5"/>
  <c r="E104" i="5" s="1"/>
  <c r="A51" i="6"/>
  <c r="P23" i="6"/>
  <c r="D109" i="6"/>
  <c r="E109" i="6" s="1"/>
  <c r="D102" i="6"/>
  <c r="E102" i="6" s="1"/>
  <c r="D95" i="6"/>
  <c r="E95" i="6" s="1"/>
  <c r="D88" i="6"/>
  <c r="E88" i="6" s="1"/>
  <c r="D107" i="6"/>
  <c r="E107" i="6" s="1"/>
  <c r="D93" i="6"/>
  <c r="E93" i="6" s="1"/>
  <c r="D110" i="6"/>
  <c r="E110" i="6" s="1"/>
  <c r="D100" i="6"/>
  <c r="E100" i="6" s="1"/>
  <c r="D112" i="6"/>
  <c r="E112" i="6" s="1"/>
  <c r="D105" i="6"/>
  <c r="E105" i="6" s="1"/>
  <c r="D98" i="6"/>
  <c r="E98" i="6" s="1"/>
  <c r="D91" i="6"/>
  <c r="E91" i="6" s="1"/>
  <c r="D115" i="6"/>
  <c r="E115" i="6" s="1"/>
  <c r="D114" i="6"/>
  <c r="E114" i="6" s="1"/>
  <c r="D103" i="6"/>
  <c r="E103" i="6" s="1"/>
  <c r="D108" i="6"/>
  <c r="E108" i="6" s="1"/>
  <c r="D101" i="6"/>
  <c r="E101" i="6" s="1"/>
  <c r="D94" i="6"/>
  <c r="E94" i="6" s="1"/>
  <c r="D87" i="6"/>
  <c r="E87" i="6" s="1"/>
  <c r="D96" i="6"/>
  <c r="E96" i="6" s="1"/>
  <c r="D86" i="6"/>
  <c r="E86" i="6" s="1"/>
  <c r="D111" i="6"/>
  <c r="E111" i="6" s="1"/>
  <c r="D104" i="6"/>
  <c r="E104" i="6" s="1"/>
  <c r="D97" i="6"/>
  <c r="E97" i="6" s="1"/>
  <c r="D90" i="6"/>
  <c r="E90" i="6" s="1"/>
  <c r="D89" i="6"/>
  <c r="E89" i="6" s="1"/>
  <c r="D113" i="6"/>
  <c r="E113" i="6" s="1"/>
  <c r="D106" i="6"/>
  <c r="E106" i="6" s="1"/>
  <c r="D99" i="6"/>
  <c r="E99" i="6" s="1"/>
  <c r="D92" i="6"/>
  <c r="E92" i="6" s="1"/>
  <c r="D85" i="6"/>
  <c r="E85" i="6" s="1"/>
  <c r="B18" i="5"/>
  <c r="N23" i="5" s="1"/>
  <c r="O23" i="5" s="1"/>
  <c r="B17" i="5"/>
  <c r="Q38" i="4"/>
  <c r="J43" i="4"/>
  <c r="J42" i="4"/>
  <c r="B18" i="4"/>
  <c r="N23" i="4" s="1"/>
  <c r="O23" i="4" s="1"/>
  <c r="B17" i="4"/>
  <c r="P23" i="20" l="1"/>
  <c r="F89" i="20" s="1"/>
  <c r="G89" i="20" s="1"/>
  <c r="A51" i="20"/>
  <c r="A51" i="19"/>
  <c r="P23" i="19"/>
  <c r="N23" i="18"/>
  <c r="O23" i="18" s="1"/>
  <c r="A51" i="18" s="1"/>
  <c r="A51" i="17"/>
  <c r="P23" i="17"/>
  <c r="P23" i="16"/>
  <c r="N60" i="16" s="1"/>
  <c r="O60" i="16" s="1"/>
  <c r="P23" i="14"/>
  <c r="A51" i="14"/>
  <c r="F115" i="13"/>
  <c r="G115" i="13" s="1"/>
  <c r="J40" i="13" s="1"/>
  <c r="J44" i="13" s="1"/>
  <c r="N62" i="13"/>
  <c r="O62" i="13" s="1"/>
  <c r="N55" i="13"/>
  <c r="O55" i="13" s="1"/>
  <c r="R31" i="13"/>
  <c r="S31" i="13" s="1"/>
  <c r="T31" i="13" s="1"/>
  <c r="R36" i="13"/>
  <c r="S36" i="13" s="1"/>
  <c r="T36" i="13" s="1"/>
  <c r="N61" i="13"/>
  <c r="O61" i="13" s="1"/>
  <c r="N54" i="13"/>
  <c r="O54" i="13" s="1"/>
  <c r="F109" i="13"/>
  <c r="G109" i="13" s="1"/>
  <c r="F111" i="13"/>
  <c r="G111" i="13" s="1"/>
  <c r="F104" i="13"/>
  <c r="G104" i="13" s="1"/>
  <c r="F97" i="13"/>
  <c r="G97" i="13" s="1"/>
  <c r="F90" i="13"/>
  <c r="G90" i="13" s="1"/>
  <c r="N50" i="13"/>
  <c r="O50" i="13" s="1"/>
  <c r="N46" i="13"/>
  <c r="O46" i="13" s="1"/>
  <c r="R32" i="13"/>
  <c r="S32" i="13" s="1"/>
  <c r="T32" i="13" s="1"/>
  <c r="F103" i="13"/>
  <c r="G103" i="13" s="1"/>
  <c r="R37" i="13"/>
  <c r="S37" i="13" s="1"/>
  <c r="T37" i="13" s="1"/>
  <c r="R35" i="13"/>
  <c r="S35" i="13" s="1"/>
  <c r="T35" i="13" s="1"/>
  <c r="R28" i="13"/>
  <c r="S28" i="13" s="1"/>
  <c r="T28" i="13" s="1"/>
  <c r="F110" i="13"/>
  <c r="G110" i="13" s="1"/>
  <c r="F96" i="13"/>
  <c r="G96" i="13" s="1"/>
  <c r="F89" i="13"/>
  <c r="G89" i="13" s="1"/>
  <c r="N57" i="13"/>
  <c r="O57" i="13" s="1"/>
  <c r="N59" i="13"/>
  <c r="O59" i="13" s="1"/>
  <c r="N52" i="13"/>
  <c r="O52" i="13" s="1"/>
  <c r="R33" i="13"/>
  <c r="S33" i="13" s="1"/>
  <c r="T33" i="13" s="1"/>
  <c r="N48" i="13"/>
  <c r="O48" i="13" s="1"/>
  <c r="F102" i="13"/>
  <c r="G102" i="13" s="1"/>
  <c r="F95" i="13"/>
  <c r="G95" i="13" s="1"/>
  <c r="F88" i="13"/>
  <c r="G88" i="13" s="1"/>
  <c r="R30" i="13"/>
  <c r="S30" i="13" s="1"/>
  <c r="T30" i="13" s="1"/>
  <c r="N56" i="13"/>
  <c r="O56" i="13" s="1"/>
  <c r="R29" i="13"/>
  <c r="S29" i="13" s="1"/>
  <c r="T29" i="13" s="1"/>
  <c r="F113" i="13"/>
  <c r="G113" i="13" s="1"/>
  <c r="F106" i="13"/>
  <c r="G106" i="13" s="1"/>
  <c r="F99" i="13"/>
  <c r="G99" i="13" s="1"/>
  <c r="F92" i="13"/>
  <c r="G92" i="13" s="1"/>
  <c r="F85" i="13"/>
  <c r="G85" i="13" s="1"/>
  <c r="N47" i="13"/>
  <c r="O47" i="13" s="1"/>
  <c r="R34" i="13"/>
  <c r="S34" i="13" s="1"/>
  <c r="T34" i="13" s="1"/>
  <c r="F100" i="13"/>
  <c r="G100" i="13" s="1"/>
  <c r="F105" i="13"/>
  <c r="G105" i="13" s="1"/>
  <c r="N58" i="13"/>
  <c r="O58" i="13" s="1"/>
  <c r="F107" i="13"/>
  <c r="G107" i="13" s="1"/>
  <c r="F87" i="13"/>
  <c r="G87" i="13" s="1"/>
  <c r="N53" i="13"/>
  <c r="O53" i="13" s="1"/>
  <c r="F112" i="13"/>
  <c r="G112" i="13" s="1"/>
  <c r="F86" i="13"/>
  <c r="G86" i="13" s="1"/>
  <c r="F114" i="13"/>
  <c r="G114" i="13" s="1"/>
  <c r="F94" i="13"/>
  <c r="G94" i="13" s="1"/>
  <c r="F108" i="13"/>
  <c r="G108" i="13" s="1"/>
  <c r="F93" i="13"/>
  <c r="G93" i="13" s="1"/>
  <c r="N60" i="13"/>
  <c r="O60" i="13" s="1"/>
  <c r="F101" i="13"/>
  <c r="G101" i="13" s="1"/>
  <c r="N49" i="13"/>
  <c r="O49" i="13" s="1"/>
  <c r="F91" i="13"/>
  <c r="G91" i="13" s="1"/>
  <c r="N51" i="13"/>
  <c r="O51" i="13" s="1"/>
  <c r="F98" i="13"/>
  <c r="G98" i="13" s="1"/>
  <c r="P23" i="12"/>
  <c r="A51" i="12"/>
  <c r="P23" i="11"/>
  <c r="A51" i="11"/>
  <c r="A51" i="9"/>
  <c r="P23" i="9"/>
  <c r="A51" i="8"/>
  <c r="P23" i="8"/>
  <c r="N23" i="7"/>
  <c r="O23" i="7" s="1"/>
  <c r="P23" i="7" s="1"/>
  <c r="A51" i="7"/>
  <c r="F92" i="6"/>
  <c r="G92" i="6" s="1"/>
  <c r="F85" i="6"/>
  <c r="G85" i="6" s="1"/>
  <c r="N47" i="6"/>
  <c r="O47" i="6" s="1"/>
  <c r="N57" i="6"/>
  <c r="O57" i="6" s="1"/>
  <c r="R32" i="6"/>
  <c r="S32" i="6" s="1"/>
  <c r="T32" i="6" s="1"/>
  <c r="N59" i="6"/>
  <c r="O59" i="6" s="1"/>
  <c r="N48" i="6"/>
  <c r="O48" i="6" s="1"/>
  <c r="F99" i="6"/>
  <c r="G99" i="6" s="1"/>
  <c r="F96" i="6"/>
  <c r="G96" i="6" s="1"/>
  <c r="F106" i="6"/>
  <c r="G106" i="6" s="1"/>
  <c r="R35" i="6"/>
  <c r="S35" i="6" s="1"/>
  <c r="T35" i="6" s="1"/>
  <c r="R36" i="6"/>
  <c r="S36" i="6" s="1"/>
  <c r="T36" i="6" s="1"/>
  <c r="R28" i="6"/>
  <c r="S28" i="6" s="1"/>
  <c r="T28" i="6" s="1"/>
  <c r="F111" i="6"/>
  <c r="G111" i="6" s="1"/>
  <c r="F104" i="6"/>
  <c r="G104" i="6" s="1"/>
  <c r="F97" i="6"/>
  <c r="G97" i="6" s="1"/>
  <c r="F90" i="6"/>
  <c r="G90" i="6" s="1"/>
  <c r="N50" i="6"/>
  <c r="O50" i="6" s="1"/>
  <c r="R33" i="6"/>
  <c r="S33" i="6" s="1"/>
  <c r="T33" i="6" s="1"/>
  <c r="N60" i="6"/>
  <c r="O60" i="6" s="1"/>
  <c r="N53" i="6"/>
  <c r="O53" i="6" s="1"/>
  <c r="N52" i="6"/>
  <c r="O52" i="6" s="1"/>
  <c r="R34" i="6"/>
  <c r="S34" i="6" s="1"/>
  <c r="T34" i="6" s="1"/>
  <c r="F110" i="6"/>
  <c r="G110" i="6" s="1"/>
  <c r="N58" i="6"/>
  <c r="O58" i="6" s="1"/>
  <c r="R29" i="6"/>
  <c r="S29" i="6" s="1"/>
  <c r="T29" i="6" s="1"/>
  <c r="F103" i="6"/>
  <c r="G103" i="6" s="1"/>
  <c r="F89" i="6"/>
  <c r="G89" i="6" s="1"/>
  <c r="N51" i="6"/>
  <c r="O51" i="6" s="1"/>
  <c r="R30" i="6"/>
  <c r="S30" i="6" s="1"/>
  <c r="T30" i="6" s="1"/>
  <c r="F113" i="6"/>
  <c r="G113" i="6" s="1"/>
  <c r="N56" i="6"/>
  <c r="O56" i="6" s="1"/>
  <c r="F109" i="6"/>
  <c r="G109" i="6" s="1"/>
  <c r="F102" i="6"/>
  <c r="G102" i="6" s="1"/>
  <c r="F95" i="6"/>
  <c r="G95" i="6" s="1"/>
  <c r="F88" i="6"/>
  <c r="G88" i="6" s="1"/>
  <c r="N46" i="6"/>
  <c r="O46" i="6" s="1"/>
  <c r="R31" i="6"/>
  <c r="S31" i="6" s="1"/>
  <c r="T31" i="6" s="1"/>
  <c r="N62" i="6"/>
  <c r="O62" i="6" s="1"/>
  <c r="N61" i="6"/>
  <c r="O61" i="6" s="1"/>
  <c r="F108" i="6"/>
  <c r="G108" i="6" s="1"/>
  <c r="F93" i="6"/>
  <c r="G93" i="6" s="1"/>
  <c r="F100" i="6"/>
  <c r="G100" i="6" s="1"/>
  <c r="F115" i="6"/>
  <c r="G115" i="6" s="1"/>
  <c r="J40" i="6" s="1"/>
  <c r="J44" i="6" s="1"/>
  <c r="F91" i="6"/>
  <c r="G91" i="6" s="1"/>
  <c r="F98" i="6"/>
  <c r="G98" i="6" s="1"/>
  <c r="F86" i="6"/>
  <c r="G86" i="6" s="1"/>
  <c r="F101" i="6"/>
  <c r="G101" i="6" s="1"/>
  <c r="N54" i="6"/>
  <c r="O54" i="6" s="1"/>
  <c r="F94" i="6"/>
  <c r="G94" i="6" s="1"/>
  <c r="N49" i="6"/>
  <c r="O49" i="6" s="1"/>
  <c r="F112" i="6"/>
  <c r="G112" i="6" s="1"/>
  <c r="F87" i="6"/>
  <c r="G87" i="6" s="1"/>
  <c r="F105" i="6"/>
  <c r="G105" i="6" s="1"/>
  <c r="F107" i="6"/>
  <c r="G107" i="6" s="1"/>
  <c r="F114" i="6"/>
  <c r="G114" i="6" s="1"/>
  <c r="N55" i="6"/>
  <c r="O55" i="6" s="1"/>
  <c r="A51" i="5"/>
  <c r="P23" i="5"/>
  <c r="P23" i="4"/>
  <c r="F115" i="4" s="1"/>
  <c r="G115" i="4" s="1"/>
  <c r="J40" i="4" s="1"/>
  <c r="J44" i="4" s="1"/>
  <c r="A51" i="4"/>
  <c r="F109" i="20" l="1"/>
  <c r="G109" i="20" s="1"/>
  <c r="R31" i="20"/>
  <c r="S31" i="20" s="1"/>
  <c r="T31" i="20" s="1"/>
  <c r="R33" i="20"/>
  <c r="S33" i="20" s="1"/>
  <c r="T33" i="20" s="1"/>
  <c r="F92" i="20"/>
  <c r="G92" i="20" s="1"/>
  <c r="F91" i="20"/>
  <c r="G91" i="20" s="1"/>
  <c r="R28" i="20"/>
  <c r="S28" i="20" s="1"/>
  <c r="T28" i="20" s="1"/>
  <c r="F100" i="20"/>
  <c r="G100" i="20" s="1"/>
  <c r="F113" i="20"/>
  <c r="G113" i="20" s="1"/>
  <c r="N62" i="20"/>
  <c r="O62" i="20" s="1"/>
  <c r="F104" i="20"/>
  <c r="G104" i="20" s="1"/>
  <c r="R30" i="20"/>
  <c r="S30" i="20" s="1"/>
  <c r="T30" i="20" s="1"/>
  <c r="N51" i="20"/>
  <c r="O51" i="20" s="1"/>
  <c r="F90" i="20"/>
  <c r="G90" i="20" s="1"/>
  <c r="F95" i="20"/>
  <c r="G95" i="20" s="1"/>
  <c r="N50" i="20"/>
  <c r="O50" i="20" s="1"/>
  <c r="N52" i="20"/>
  <c r="O52" i="20" s="1"/>
  <c r="F115" i="20"/>
  <c r="G115" i="20" s="1"/>
  <c r="J40" i="20" s="1"/>
  <c r="J44" i="20" s="1"/>
  <c r="F99" i="20"/>
  <c r="G99" i="20" s="1"/>
  <c r="N49" i="20"/>
  <c r="O49" i="20" s="1"/>
  <c r="N56" i="20"/>
  <c r="O56" i="20" s="1"/>
  <c r="N55" i="20"/>
  <c r="O55" i="20" s="1"/>
  <c r="F108" i="20"/>
  <c r="G108" i="20" s="1"/>
  <c r="N47" i="20"/>
  <c r="O47" i="20" s="1"/>
  <c r="N58" i="20"/>
  <c r="O58" i="20" s="1"/>
  <c r="F86" i="20"/>
  <c r="G86" i="20" s="1"/>
  <c r="N54" i="20"/>
  <c r="O54" i="20" s="1"/>
  <c r="F87" i="20"/>
  <c r="G87" i="20" s="1"/>
  <c r="F85" i="20"/>
  <c r="G85" i="20" s="1"/>
  <c r="F110" i="20"/>
  <c r="G110" i="20" s="1"/>
  <c r="F114" i="20"/>
  <c r="G114" i="20" s="1"/>
  <c r="R36" i="20"/>
  <c r="S36" i="20" s="1"/>
  <c r="T36" i="20" s="1"/>
  <c r="N61" i="20"/>
  <c r="O61" i="20" s="1"/>
  <c r="F106" i="20"/>
  <c r="G106" i="20" s="1"/>
  <c r="N59" i="20"/>
  <c r="O59" i="20" s="1"/>
  <c r="R35" i="20"/>
  <c r="S35" i="20" s="1"/>
  <c r="T35" i="20" s="1"/>
  <c r="R34" i="20"/>
  <c r="S34" i="20" s="1"/>
  <c r="T34" i="20" s="1"/>
  <c r="F112" i="20"/>
  <c r="G112" i="20" s="1"/>
  <c r="N46" i="20"/>
  <c r="O46" i="20" s="1"/>
  <c r="F103" i="20"/>
  <c r="G103" i="20" s="1"/>
  <c r="N48" i="20"/>
  <c r="O48" i="20" s="1"/>
  <c r="N57" i="20"/>
  <c r="O57" i="20" s="1"/>
  <c r="F107" i="20"/>
  <c r="G107" i="20" s="1"/>
  <c r="F97" i="20"/>
  <c r="G97" i="20" s="1"/>
  <c r="F98" i="20"/>
  <c r="G98" i="20" s="1"/>
  <c r="F105" i="20"/>
  <c r="G105" i="20" s="1"/>
  <c r="F96" i="20"/>
  <c r="G96" i="20" s="1"/>
  <c r="R37" i="20"/>
  <c r="S37" i="20" s="1"/>
  <c r="T37" i="20" s="1"/>
  <c r="N60" i="20"/>
  <c r="O60" i="20" s="1"/>
  <c r="F93" i="20"/>
  <c r="G93" i="20" s="1"/>
  <c r="R29" i="20"/>
  <c r="S29" i="20" s="1"/>
  <c r="T29" i="20" s="1"/>
  <c r="R32" i="20"/>
  <c r="S32" i="20" s="1"/>
  <c r="T32" i="20" s="1"/>
  <c r="F111" i="20"/>
  <c r="G111" i="20" s="1"/>
  <c r="F88" i="20"/>
  <c r="G88" i="20" s="1"/>
  <c r="F94" i="20"/>
  <c r="G94" i="20" s="1"/>
  <c r="N53" i="20"/>
  <c r="O53" i="20" s="1"/>
  <c r="F101" i="20"/>
  <c r="G101" i="20" s="1"/>
  <c r="F102" i="20"/>
  <c r="G102" i="20" s="1"/>
  <c r="F115" i="19"/>
  <c r="G115" i="19" s="1"/>
  <c r="J40" i="19" s="1"/>
  <c r="J44" i="19" s="1"/>
  <c r="N62" i="19"/>
  <c r="O62" i="19" s="1"/>
  <c r="N55" i="19"/>
  <c r="O55" i="19" s="1"/>
  <c r="R32" i="19"/>
  <c r="S32" i="19" s="1"/>
  <c r="T32" i="19" s="1"/>
  <c r="F99" i="19"/>
  <c r="G99" i="19" s="1"/>
  <c r="R28" i="19"/>
  <c r="S28" i="19" s="1"/>
  <c r="T28" i="19" s="1"/>
  <c r="F92" i="19"/>
  <c r="G92" i="19" s="1"/>
  <c r="F111" i="19"/>
  <c r="G111" i="19" s="1"/>
  <c r="F104" i="19"/>
  <c r="G104" i="19" s="1"/>
  <c r="F97" i="19"/>
  <c r="G97" i="19" s="1"/>
  <c r="F90" i="19"/>
  <c r="G90" i="19" s="1"/>
  <c r="N50" i="19"/>
  <c r="O50" i="19" s="1"/>
  <c r="R33" i="19"/>
  <c r="S33" i="19" s="1"/>
  <c r="T33" i="19" s="1"/>
  <c r="N60" i="19"/>
  <c r="O60" i="19" s="1"/>
  <c r="N53" i="19"/>
  <c r="O53" i="19" s="1"/>
  <c r="F114" i="19"/>
  <c r="G114" i="19" s="1"/>
  <c r="F107" i="19"/>
  <c r="G107" i="19" s="1"/>
  <c r="F100" i="19"/>
  <c r="G100" i="19" s="1"/>
  <c r="F93" i="19"/>
  <c r="G93" i="19" s="1"/>
  <c r="F86" i="19"/>
  <c r="G86" i="19" s="1"/>
  <c r="N49" i="19"/>
  <c r="O49" i="19" s="1"/>
  <c r="R29" i="19"/>
  <c r="S29" i="19" s="1"/>
  <c r="T29" i="19" s="1"/>
  <c r="F113" i="19"/>
  <c r="G113" i="19" s="1"/>
  <c r="F109" i="19"/>
  <c r="G109" i="19" s="1"/>
  <c r="N59" i="19"/>
  <c r="O59" i="19" s="1"/>
  <c r="N52" i="19"/>
  <c r="O52" i="19" s="1"/>
  <c r="R34" i="19"/>
  <c r="S34" i="19" s="1"/>
  <c r="T34" i="19" s="1"/>
  <c r="N58" i="19"/>
  <c r="O58" i="19" s="1"/>
  <c r="N51" i="19"/>
  <c r="O51" i="19" s="1"/>
  <c r="F85" i="19"/>
  <c r="G85" i="19" s="1"/>
  <c r="R35" i="19"/>
  <c r="S35" i="19" s="1"/>
  <c r="T35" i="19" s="1"/>
  <c r="F102" i="19"/>
  <c r="G102" i="19" s="1"/>
  <c r="F95" i="19"/>
  <c r="G95" i="19" s="1"/>
  <c r="F88" i="19"/>
  <c r="G88" i="19" s="1"/>
  <c r="N46" i="19"/>
  <c r="O46" i="19" s="1"/>
  <c r="F110" i="19"/>
  <c r="G110" i="19" s="1"/>
  <c r="F103" i="19"/>
  <c r="G103" i="19" s="1"/>
  <c r="F96" i="19"/>
  <c r="G96" i="19" s="1"/>
  <c r="F89" i="19"/>
  <c r="G89" i="19" s="1"/>
  <c r="N48" i="19"/>
  <c r="O48" i="19" s="1"/>
  <c r="R30" i="19"/>
  <c r="S30" i="19" s="1"/>
  <c r="T30" i="19" s="1"/>
  <c r="F106" i="19"/>
  <c r="G106" i="19" s="1"/>
  <c r="N57" i="19"/>
  <c r="O57" i="19" s="1"/>
  <c r="N56" i="19"/>
  <c r="O56" i="19" s="1"/>
  <c r="R36" i="19"/>
  <c r="S36" i="19" s="1"/>
  <c r="T36" i="19" s="1"/>
  <c r="N47" i="19"/>
  <c r="O47" i="19" s="1"/>
  <c r="R31" i="19"/>
  <c r="S31" i="19" s="1"/>
  <c r="T31" i="19" s="1"/>
  <c r="N61" i="19"/>
  <c r="O61" i="19" s="1"/>
  <c r="F108" i="19"/>
  <c r="G108" i="19" s="1"/>
  <c r="F91" i="19"/>
  <c r="G91" i="19" s="1"/>
  <c r="F112" i="19"/>
  <c r="G112" i="19" s="1"/>
  <c r="N54" i="19"/>
  <c r="O54" i="19" s="1"/>
  <c r="F101" i="19"/>
  <c r="G101" i="19" s="1"/>
  <c r="F98" i="19"/>
  <c r="G98" i="19" s="1"/>
  <c r="F105" i="19"/>
  <c r="G105" i="19" s="1"/>
  <c r="F87" i="19"/>
  <c r="G87" i="19" s="1"/>
  <c r="F94" i="19"/>
  <c r="G94" i="19" s="1"/>
  <c r="P23" i="18"/>
  <c r="F108" i="18" s="1"/>
  <c r="G108" i="18" s="1"/>
  <c r="N48" i="18"/>
  <c r="O48" i="18" s="1"/>
  <c r="N62" i="17"/>
  <c r="O62" i="17" s="1"/>
  <c r="F85" i="17"/>
  <c r="G85" i="17" s="1"/>
  <c r="F113" i="17"/>
  <c r="G113" i="17" s="1"/>
  <c r="F99" i="17"/>
  <c r="G99" i="17" s="1"/>
  <c r="F92" i="17"/>
  <c r="G92" i="17" s="1"/>
  <c r="N47" i="17"/>
  <c r="O47" i="17" s="1"/>
  <c r="R35" i="17"/>
  <c r="S35" i="17" s="1"/>
  <c r="T35" i="17" s="1"/>
  <c r="N57" i="17"/>
  <c r="O57" i="17" s="1"/>
  <c r="F106" i="17"/>
  <c r="G106" i="17" s="1"/>
  <c r="F115" i="17"/>
  <c r="G115" i="17" s="1"/>
  <c r="J40" i="17" s="1"/>
  <c r="J44" i="17" s="1"/>
  <c r="N55" i="17"/>
  <c r="O55" i="17" s="1"/>
  <c r="R32" i="17"/>
  <c r="S32" i="17" s="1"/>
  <c r="T32" i="17" s="1"/>
  <c r="R36" i="17"/>
  <c r="S36" i="17" s="1"/>
  <c r="T36" i="17" s="1"/>
  <c r="F86" i="17"/>
  <c r="G86" i="17" s="1"/>
  <c r="F104" i="17"/>
  <c r="G104" i="17" s="1"/>
  <c r="N56" i="17"/>
  <c r="O56" i="17" s="1"/>
  <c r="N48" i="17"/>
  <c r="O48" i="17" s="1"/>
  <c r="F93" i="17"/>
  <c r="G93" i="17" s="1"/>
  <c r="F111" i="17"/>
  <c r="G111" i="17" s="1"/>
  <c r="F110" i="17"/>
  <c r="G110" i="17" s="1"/>
  <c r="F100" i="17"/>
  <c r="G100" i="17" s="1"/>
  <c r="R28" i="17"/>
  <c r="S28" i="17" s="1"/>
  <c r="T28" i="17" s="1"/>
  <c r="F114" i="17"/>
  <c r="G114" i="17" s="1"/>
  <c r="N54" i="17"/>
  <c r="O54" i="17" s="1"/>
  <c r="N52" i="17"/>
  <c r="O52" i="17" s="1"/>
  <c r="R30" i="17"/>
  <c r="S30" i="17" s="1"/>
  <c r="T30" i="17" s="1"/>
  <c r="N61" i="17"/>
  <c r="O61" i="17" s="1"/>
  <c r="N50" i="17"/>
  <c r="O50" i="17" s="1"/>
  <c r="F90" i="17"/>
  <c r="G90" i="17" s="1"/>
  <c r="F105" i="17"/>
  <c r="G105" i="17" s="1"/>
  <c r="R31" i="17"/>
  <c r="S31" i="17" s="1"/>
  <c r="T31" i="17" s="1"/>
  <c r="R34" i="17"/>
  <c r="S34" i="17" s="1"/>
  <c r="T34" i="17" s="1"/>
  <c r="F107" i="17"/>
  <c r="G107" i="17" s="1"/>
  <c r="N46" i="17"/>
  <c r="O46" i="17" s="1"/>
  <c r="N59" i="17"/>
  <c r="O59" i="17" s="1"/>
  <c r="N51" i="17"/>
  <c r="O51" i="17" s="1"/>
  <c r="F103" i="17"/>
  <c r="G103" i="17" s="1"/>
  <c r="F98" i="17"/>
  <c r="G98" i="17" s="1"/>
  <c r="N49" i="17"/>
  <c r="O49" i="17" s="1"/>
  <c r="F88" i="17"/>
  <c r="G88" i="17" s="1"/>
  <c r="N53" i="17"/>
  <c r="O53" i="17" s="1"/>
  <c r="F87" i="17"/>
  <c r="G87" i="17" s="1"/>
  <c r="F95" i="17"/>
  <c r="G95" i="17" s="1"/>
  <c r="F89" i="17"/>
  <c r="G89" i="17" s="1"/>
  <c r="N60" i="17"/>
  <c r="O60" i="17" s="1"/>
  <c r="F94" i="17"/>
  <c r="G94" i="17" s="1"/>
  <c r="F102" i="17"/>
  <c r="G102" i="17" s="1"/>
  <c r="F96" i="17"/>
  <c r="G96" i="17" s="1"/>
  <c r="R33" i="17"/>
  <c r="S33" i="17" s="1"/>
  <c r="T33" i="17" s="1"/>
  <c r="F101" i="17"/>
  <c r="G101" i="17" s="1"/>
  <c r="F108" i="17"/>
  <c r="G108" i="17" s="1"/>
  <c r="R29" i="17"/>
  <c r="S29" i="17" s="1"/>
  <c r="T29" i="17" s="1"/>
  <c r="F91" i="17"/>
  <c r="G91" i="17" s="1"/>
  <c r="N58" i="17"/>
  <c r="O58" i="17" s="1"/>
  <c r="F112" i="17"/>
  <c r="G112" i="17" s="1"/>
  <c r="F109" i="17"/>
  <c r="G109" i="17" s="1"/>
  <c r="F97" i="17"/>
  <c r="G97" i="17" s="1"/>
  <c r="F104" i="16"/>
  <c r="G104" i="16" s="1"/>
  <c r="F94" i="16"/>
  <c r="G94" i="16" s="1"/>
  <c r="N55" i="16"/>
  <c r="O55" i="16" s="1"/>
  <c r="F95" i="16"/>
  <c r="G95" i="16" s="1"/>
  <c r="N49" i="16"/>
  <c r="O49" i="16" s="1"/>
  <c r="N47" i="16"/>
  <c r="O47" i="16" s="1"/>
  <c r="F88" i="16"/>
  <c r="G88" i="16" s="1"/>
  <c r="F87" i="16"/>
  <c r="G87" i="16" s="1"/>
  <c r="F102" i="16"/>
  <c r="G102" i="16" s="1"/>
  <c r="F86" i="16"/>
  <c r="G86" i="16" s="1"/>
  <c r="F85" i="16"/>
  <c r="G85" i="16" s="1"/>
  <c r="R32" i="16"/>
  <c r="S32" i="16" s="1"/>
  <c r="T32" i="16" s="1"/>
  <c r="R31" i="16"/>
  <c r="S31" i="16" s="1"/>
  <c r="T31" i="16" s="1"/>
  <c r="F112" i="16"/>
  <c r="G112" i="16" s="1"/>
  <c r="F98" i="16"/>
  <c r="G98" i="16" s="1"/>
  <c r="F109" i="16"/>
  <c r="G109" i="16" s="1"/>
  <c r="F93" i="16"/>
  <c r="G93" i="16" s="1"/>
  <c r="F92" i="16"/>
  <c r="G92" i="16" s="1"/>
  <c r="F97" i="16"/>
  <c r="G97" i="16" s="1"/>
  <c r="F111" i="16"/>
  <c r="G111" i="16" s="1"/>
  <c r="R29" i="16"/>
  <c r="S29" i="16" s="1"/>
  <c r="T29" i="16" s="1"/>
  <c r="F108" i="16"/>
  <c r="G108" i="16" s="1"/>
  <c r="R35" i="16"/>
  <c r="S35" i="16" s="1"/>
  <c r="T35" i="16" s="1"/>
  <c r="F100" i="16"/>
  <c r="G100" i="16" s="1"/>
  <c r="F99" i="16"/>
  <c r="G99" i="16" s="1"/>
  <c r="R36" i="16"/>
  <c r="S36" i="16" s="1"/>
  <c r="T36" i="16" s="1"/>
  <c r="N52" i="16"/>
  <c r="O52" i="16" s="1"/>
  <c r="F110" i="16"/>
  <c r="G110" i="16" s="1"/>
  <c r="N61" i="16"/>
  <c r="O61" i="16" s="1"/>
  <c r="N58" i="16"/>
  <c r="O58" i="16" s="1"/>
  <c r="F107" i="16"/>
  <c r="G107" i="16" s="1"/>
  <c r="F113" i="16"/>
  <c r="G113" i="16" s="1"/>
  <c r="N56" i="16"/>
  <c r="O56" i="16" s="1"/>
  <c r="N46" i="16"/>
  <c r="O46" i="16" s="1"/>
  <c r="F114" i="16"/>
  <c r="G114" i="16" s="1"/>
  <c r="R30" i="16"/>
  <c r="S30" i="16" s="1"/>
  <c r="T30" i="16" s="1"/>
  <c r="F101" i="16"/>
  <c r="G101" i="16" s="1"/>
  <c r="R28" i="16"/>
  <c r="S28" i="16" s="1"/>
  <c r="T28" i="16" s="1"/>
  <c r="F105" i="16"/>
  <c r="G105" i="16" s="1"/>
  <c r="F89" i="16"/>
  <c r="G89" i="16" s="1"/>
  <c r="R33" i="16"/>
  <c r="S33" i="16" s="1"/>
  <c r="T33" i="16" s="1"/>
  <c r="N51" i="16"/>
  <c r="O51" i="16" s="1"/>
  <c r="R34" i="16"/>
  <c r="S34" i="16" s="1"/>
  <c r="T34" i="16" s="1"/>
  <c r="F115" i="16"/>
  <c r="G115" i="16" s="1"/>
  <c r="J40" i="16" s="1"/>
  <c r="J44" i="16" s="1"/>
  <c r="N57" i="16"/>
  <c r="O57" i="16" s="1"/>
  <c r="N48" i="16"/>
  <c r="O48" i="16" s="1"/>
  <c r="N54" i="16"/>
  <c r="O54" i="16" s="1"/>
  <c r="F96" i="16"/>
  <c r="G96" i="16" s="1"/>
  <c r="N50" i="16"/>
  <c r="O50" i="16" s="1"/>
  <c r="N53" i="16"/>
  <c r="O53" i="16" s="1"/>
  <c r="F91" i="16"/>
  <c r="G91" i="16" s="1"/>
  <c r="N59" i="16"/>
  <c r="O59" i="16" s="1"/>
  <c r="N62" i="16"/>
  <c r="O62" i="16" s="1"/>
  <c r="F106" i="16"/>
  <c r="G106" i="16" s="1"/>
  <c r="F103" i="16"/>
  <c r="G103" i="16" s="1"/>
  <c r="F90" i="16"/>
  <c r="G90" i="16" s="1"/>
  <c r="N58" i="14"/>
  <c r="O58" i="14" s="1"/>
  <c r="F92" i="14"/>
  <c r="G92" i="14" s="1"/>
  <c r="F96" i="14"/>
  <c r="G96" i="14" s="1"/>
  <c r="R28" i="14"/>
  <c r="S28" i="14" s="1"/>
  <c r="T28" i="14" s="1"/>
  <c r="F103" i="14"/>
  <c r="G103" i="14" s="1"/>
  <c r="F99" i="14"/>
  <c r="G99" i="14" s="1"/>
  <c r="F110" i="14"/>
  <c r="G110" i="14" s="1"/>
  <c r="R29" i="14"/>
  <c r="S29" i="14" s="1"/>
  <c r="T29" i="14" s="1"/>
  <c r="F113" i="14"/>
  <c r="G113" i="14" s="1"/>
  <c r="R34" i="14"/>
  <c r="S34" i="14" s="1"/>
  <c r="T34" i="14" s="1"/>
  <c r="N59" i="14"/>
  <c r="O59" i="14" s="1"/>
  <c r="N52" i="14"/>
  <c r="O52" i="14" s="1"/>
  <c r="R33" i="14"/>
  <c r="S33" i="14" s="1"/>
  <c r="T33" i="14" s="1"/>
  <c r="F89" i="14"/>
  <c r="G89" i="14" s="1"/>
  <c r="N48" i="14"/>
  <c r="O48" i="14" s="1"/>
  <c r="N51" i="14"/>
  <c r="O51" i="14" s="1"/>
  <c r="F85" i="14"/>
  <c r="G85" i="14" s="1"/>
  <c r="N47" i="14"/>
  <c r="O47" i="14" s="1"/>
  <c r="N57" i="14"/>
  <c r="O57" i="14" s="1"/>
  <c r="N56" i="14"/>
  <c r="O56" i="14" s="1"/>
  <c r="R35" i="14"/>
  <c r="S35" i="14" s="1"/>
  <c r="T35" i="14" s="1"/>
  <c r="F106" i="14"/>
  <c r="G106" i="14" s="1"/>
  <c r="F87" i="14"/>
  <c r="G87" i="14" s="1"/>
  <c r="F115" i="14"/>
  <c r="G115" i="14" s="1"/>
  <c r="J40" i="14" s="1"/>
  <c r="J44" i="14" s="1"/>
  <c r="N62" i="14"/>
  <c r="O62" i="14" s="1"/>
  <c r="F112" i="14"/>
  <c r="G112" i="14" s="1"/>
  <c r="F90" i="14"/>
  <c r="G90" i="14" s="1"/>
  <c r="F101" i="14"/>
  <c r="G101" i="14" s="1"/>
  <c r="N60" i="14"/>
  <c r="O60" i="14" s="1"/>
  <c r="F100" i="14"/>
  <c r="G100" i="14" s="1"/>
  <c r="N46" i="14"/>
  <c r="O46" i="14" s="1"/>
  <c r="F107" i="14"/>
  <c r="G107" i="14" s="1"/>
  <c r="F94" i="14"/>
  <c r="G94" i="14" s="1"/>
  <c r="F91" i="14"/>
  <c r="G91" i="14" s="1"/>
  <c r="F93" i="14"/>
  <c r="G93" i="14" s="1"/>
  <c r="N54" i="14"/>
  <c r="O54" i="14" s="1"/>
  <c r="N61" i="14"/>
  <c r="O61" i="14" s="1"/>
  <c r="N49" i="14"/>
  <c r="O49" i="14" s="1"/>
  <c r="F97" i="14"/>
  <c r="G97" i="14" s="1"/>
  <c r="F98" i="14"/>
  <c r="G98" i="14" s="1"/>
  <c r="F86" i="14"/>
  <c r="G86" i="14" s="1"/>
  <c r="R30" i="14"/>
  <c r="S30" i="14" s="1"/>
  <c r="T30" i="14" s="1"/>
  <c r="F114" i="14"/>
  <c r="G114" i="14" s="1"/>
  <c r="F104" i="14"/>
  <c r="G104" i="14" s="1"/>
  <c r="R37" i="14"/>
  <c r="S37" i="14" s="1"/>
  <c r="T37" i="14" s="1"/>
  <c r="F108" i="14"/>
  <c r="G108" i="14" s="1"/>
  <c r="F105" i="14"/>
  <c r="G105" i="14" s="1"/>
  <c r="F88" i="14"/>
  <c r="G88" i="14" s="1"/>
  <c r="N53" i="14"/>
  <c r="O53" i="14" s="1"/>
  <c r="F111" i="14"/>
  <c r="G111" i="14" s="1"/>
  <c r="F95" i="14"/>
  <c r="G95" i="14" s="1"/>
  <c r="R32" i="14"/>
  <c r="S32" i="14" s="1"/>
  <c r="T32" i="14" s="1"/>
  <c r="N55" i="14"/>
  <c r="O55" i="14" s="1"/>
  <c r="N50" i="14"/>
  <c r="O50" i="14" s="1"/>
  <c r="R31" i="14"/>
  <c r="S31" i="14" s="1"/>
  <c r="T31" i="14" s="1"/>
  <c r="F102" i="14"/>
  <c r="G102" i="14" s="1"/>
  <c r="F109" i="14"/>
  <c r="G109" i="14" s="1"/>
  <c r="R36" i="14"/>
  <c r="S36" i="14" s="1"/>
  <c r="T36" i="14" s="1"/>
  <c r="T38" i="13"/>
  <c r="R23" i="13" s="1"/>
  <c r="F109" i="12"/>
  <c r="G109" i="12" s="1"/>
  <c r="F85" i="12"/>
  <c r="G85" i="12" s="1"/>
  <c r="F102" i="12"/>
  <c r="G102" i="12" s="1"/>
  <c r="F92" i="12"/>
  <c r="G92" i="12" s="1"/>
  <c r="F88" i="12"/>
  <c r="G88" i="12" s="1"/>
  <c r="F111" i="12"/>
  <c r="G111" i="12" s="1"/>
  <c r="F104" i="12"/>
  <c r="G104" i="12" s="1"/>
  <c r="F97" i="12"/>
  <c r="G97" i="12" s="1"/>
  <c r="F90" i="12"/>
  <c r="G90" i="12" s="1"/>
  <c r="N50" i="12"/>
  <c r="O50" i="12" s="1"/>
  <c r="N46" i="12"/>
  <c r="O46" i="12" s="1"/>
  <c r="R32" i="12"/>
  <c r="S32" i="12" s="1"/>
  <c r="T32" i="12" s="1"/>
  <c r="R34" i="12"/>
  <c r="S34" i="12" s="1"/>
  <c r="T34" i="12" s="1"/>
  <c r="N56" i="12"/>
  <c r="O56" i="12" s="1"/>
  <c r="R28" i="12"/>
  <c r="S28" i="12" s="1"/>
  <c r="T28" i="12" s="1"/>
  <c r="F99" i="12"/>
  <c r="G99" i="12" s="1"/>
  <c r="F95" i="12"/>
  <c r="G95" i="12" s="1"/>
  <c r="F106" i="12"/>
  <c r="G106" i="12" s="1"/>
  <c r="N47" i="12"/>
  <c r="O47" i="12" s="1"/>
  <c r="N57" i="12"/>
  <c r="O57" i="12" s="1"/>
  <c r="R30" i="12"/>
  <c r="S30" i="12" s="1"/>
  <c r="T30" i="12" s="1"/>
  <c r="R35" i="12"/>
  <c r="S35" i="12" s="1"/>
  <c r="T35" i="12" s="1"/>
  <c r="R29" i="12"/>
  <c r="S29" i="12" s="1"/>
  <c r="T29" i="12" s="1"/>
  <c r="F113" i="12"/>
  <c r="G113" i="12" s="1"/>
  <c r="N51" i="12"/>
  <c r="O51" i="12" s="1"/>
  <c r="F114" i="12"/>
  <c r="G114" i="12" s="1"/>
  <c r="F87" i="12"/>
  <c r="G87" i="12" s="1"/>
  <c r="N58" i="12"/>
  <c r="O58" i="12" s="1"/>
  <c r="F91" i="12"/>
  <c r="G91" i="12" s="1"/>
  <c r="F107" i="12"/>
  <c r="G107" i="12" s="1"/>
  <c r="R33" i="12"/>
  <c r="S33" i="12" s="1"/>
  <c r="T33" i="12" s="1"/>
  <c r="R37" i="12"/>
  <c r="S37" i="12" s="1"/>
  <c r="T37" i="12" s="1"/>
  <c r="F94" i="12"/>
  <c r="G94" i="12" s="1"/>
  <c r="N52" i="12"/>
  <c r="O52" i="12" s="1"/>
  <c r="N53" i="12"/>
  <c r="O53" i="12" s="1"/>
  <c r="F98" i="12"/>
  <c r="G98" i="12" s="1"/>
  <c r="F105" i="12"/>
  <c r="G105" i="12" s="1"/>
  <c r="N62" i="12"/>
  <c r="O62" i="12" s="1"/>
  <c r="F115" i="12"/>
  <c r="G115" i="12" s="1"/>
  <c r="J40" i="12" s="1"/>
  <c r="J44" i="12" s="1"/>
  <c r="N48" i="12"/>
  <c r="O48" i="12" s="1"/>
  <c r="N59" i="12"/>
  <c r="O59" i="12" s="1"/>
  <c r="N60" i="12"/>
  <c r="O60" i="12" s="1"/>
  <c r="F101" i="12"/>
  <c r="G101" i="12" s="1"/>
  <c r="N49" i="12"/>
  <c r="O49" i="12" s="1"/>
  <c r="F89" i="12"/>
  <c r="G89" i="12" s="1"/>
  <c r="F86" i="12"/>
  <c r="G86" i="12" s="1"/>
  <c r="F108" i="12"/>
  <c r="G108" i="12" s="1"/>
  <c r="R31" i="12"/>
  <c r="S31" i="12" s="1"/>
  <c r="T31" i="12" s="1"/>
  <c r="N54" i="12"/>
  <c r="O54" i="12" s="1"/>
  <c r="F112" i="12"/>
  <c r="G112" i="12" s="1"/>
  <c r="F103" i="12"/>
  <c r="G103" i="12" s="1"/>
  <c r="N61" i="12"/>
  <c r="O61" i="12" s="1"/>
  <c r="F96" i="12"/>
  <c r="G96" i="12" s="1"/>
  <c r="F93" i="12"/>
  <c r="G93" i="12" s="1"/>
  <c r="F100" i="12"/>
  <c r="G100" i="12" s="1"/>
  <c r="N55" i="12"/>
  <c r="O55" i="12" s="1"/>
  <c r="F110" i="12"/>
  <c r="G110" i="12" s="1"/>
  <c r="R36" i="12"/>
  <c r="S36" i="12" s="1"/>
  <c r="T36" i="12" s="1"/>
  <c r="F99" i="11"/>
  <c r="G99" i="11" s="1"/>
  <c r="N59" i="11"/>
  <c r="O59" i="11" s="1"/>
  <c r="N52" i="11"/>
  <c r="O52" i="11" s="1"/>
  <c r="F96" i="11"/>
  <c r="G96" i="11" s="1"/>
  <c r="F89" i="11"/>
  <c r="G89" i="11" s="1"/>
  <c r="N58" i="11"/>
  <c r="O58" i="11" s="1"/>
  <c r="N51" i="11"/>
  <c r="O51" i="11" s="1"/>
  <c r="R29" i="11"/>
  <c r="S29" i="11" s="1"/>
  <c r="T29" i="11" s="1"/>
  <c r="F113" i="11"/>
  <c r="G113" i="11" s="1"/>
  <c r="F92" i="11"/>
  <c r="G92" i="11" s="1"/>
  <c r="F85" i="11"/>
  <c r="G85" i="11" s="1"/>
  <c r="N47" i="11"/>
  <c r="O47" i="11" s="1"/>
  <c r="N57" i="11"/>
  <c r="O57" i="11" s="1"/>
  <c r="F88" i="11"/>
  <c r="G88" i="11" s="1"/>
  <c r="N56" i="11"/>
  <c r="O56" i="11" s="1"/>
  <c r="R35" i="11"/>
  <c r="S35" i="11" s="1"/>
  <c r="T35" i="11" s="1"/>
  <c r="F103" i="11"/>
  <c r="G103" i="11" s="1"/>
  <c r="R34" i="11"/>
  <c r="S34" i="11" s="1"/>
  <c r="T34" i="11" s="1"/>
  <c r="F95" i="11"/>
  <c r="G95" i="11" s="1"/>
  <c r="R30" i="11"/>
  <c r="S30" i="11" s="1"/>
  <c r="T30" i="11" s="1"/>
  <c r="F102" i="11"/>
  <c r="G102" i="11" s="1"/>
  <c r="F111" i="11"/>
  <c r="G111" i="11" s="1"/>
  <c r="F104" i="11"/>
  <c r="G104" i="11" s="1"/>
  <c r="F97" i="11"/>
  <c r="G97" i="11" s="1"/>
  <c r="F90" i="11"/>
  <c r="G90" i="11" s="1"/>
  <c r="N50" i="11"/>
  <c r="O50" i="11" s="1"/>
  <c r="N46" i="11"/>
  <c r="O46" i="11" s="1"/>
  <c r="R32" i="11"/>
  <c r="S32" i="11" s="1"/>
  <c r="T32" i="11" s="1"/>
  <c r="R37" i="11"/>
  <c r="S37" i="11" s="1"/>
  <c r="T37" i="11" s="1"/>
  <c r="R33" i="11"/>
  <c r="S33" i="11" s="1"/>
  <c r="T33" i="11" s="1"/>
  <c r="F110" i="11"/>
  <c r="G110" i="11" s="1"/>
  <c r="N48" i="11"/>
  <c r="O48" i="11" s="1"/>
  <c r="F106" i="11"/>
  <c r="G106" i="11" s="1"/>
  <c r="N60" i="11"/>
  <c r="O60" i="11" s="1"/>
  <c r="N53" i="11"/>
  <c r="O53" i="11" s="1"/>
  <c r="R28" i="11"/>
  <c r="S28" i="11" s="1"/>
  <c r="T28" i="11" s="1"/>
  <c r="F109" i="11"/>
  <c r="G109" i="11" s="1"/>
  <c r="F107" i="11"/>
  <c r="G107" i="11" s="1"/>
  <c r="R36" i="11"/>
  <c r="S36" i="11" s="1"/>
  <c r="T36" i="11" s="1"/>
  <c r="F105" i="11"/>
  <c r="G105" i="11" s="1"/>
  <c r="R31" i="11"/>
  <c r="S31" i="11" s="1"/>
  <c r="T31" i="11" s="1"/>
  <c r="F91" i="11"/>
  <c r="G91" i="11" s="1"/>
  <c r="F87" i="11"/>
  <c r="G87" i="11" s="1"/>
  <c r="N54" i="11"/>
  <c r="O54" i="11" s="1"/>
  <c r="F114" i="11"/>
  <c r="G114" i="11" s="1"/>
  <c r="F94" i="11"/>
  <c r="G94" i="11" s="1"/>
  <c r="F101" i="11"/>
  <c r="G101" i="11" s="1"/>
  <c r="N55" i="11"/>
  <c r="O55" i="11" s="1"/>
  <c r="N61" i="11"/>
  <c r="O61" i="11" s="1"/>
  <c r="N62" i="11"/>
  <c r="O62" i="11" s="1"/>
  <c r="N49" i="11"/>
  <c r="O49" i="11" s="1"/>
  <c r="F108" i="11"/>
  <c r="G108" i="11" s="1"/>
  <c r="F115" i="11"/>
  <c r="G115" i="11" s="1"/>
  <c r="J40" i="11" s="1"/>
  <c r="J44" i="11" s="1"/>
  <c r="F86" i="11"/>
  <c r="G86" i="11" s="1"/>
  <c r="F93" i="11"/>
  <c r="G93" i="11" s="1"/>
  <c r="F112" i="11"/>
  <c r="G112" i="11" s="1"/>
  <c r="F100" i="11"/>
  <c r="G100" i="11" s="1"/>
  <c r="F98" i="11"/>
  <c r="G98" i="11" s="1"/>
  <c r="F88" i="9"/>
  <c r="G88" i="9" s="1"/>
  <c r="N47" i="9"/>
  <c r="O47" i="9" s="1"/>
  <c r="N57" i="9"/>
  <c r="O57" i="9" s="1"/>
  <c r="F109" i="9"/>
  <c r="G109" i="9" s="1"/>
  <c r="R31" i="9"/>
  <c r="S31" i="9" s="1"/>
  <c r="T31" i="9" s="1"/>
  <c r="F111" i="9"/>
  <c r="G111" i="9" s="1"/>
  <c r="F104" i="9"/>
  <c r="G104" i="9" s="1"/>
  <c r="F97" i="9"/>
  <c r="G97" i="9" s="1"/>
  <c r="F90" i="9"/>
  <c r="G90" i="9" s="1"/>
  <c r="N50" i="9"/>
  <c r="O50" i="9" s="1"/>
  <c r="R33" i="9"/>
  <c r="S33" i="9" s="1"/>
  <c r="T33" i="9" s="1"/>
  <c r="F102" i="9"/>
  <c r="G102" i="9" s="1"/>
  <c r="N56" i="9"/>
  <c r="O56" i="9" s="1"/>
  <c r="N46" i="9"/>
  <c r="O46" i="9" s="1"/>
  <c r="F114" i="9"/>
  <c r="G114" i="9" s="1"/>
  <c r="F107" i="9"/>
  <c r="G107" i="9" s="1"/>
  <c r="F100" i="9"/>
  <c r="G100" i="9" s="1"/>
  <c r="F93" i="9"/>
  <c r="G93" i="9" s="1"/>
  <c r="F86" i="9"/>
  <c r="G86" i="9" s="1"/>
  <c r="N49" i="9"/>
  <c r="O49" i="9" s="1"/>
  <c r="R29" i="9"/>
  <c r="S29" i="9" s="1"/>
  <c r="T29" i="9" s="1"/>
  <c r="F99" i="9"/>
  <c r="G99" i="9" s="1"/>
  <c r="N59" i="9"/>
  <c r="O59" i="9" s="1"/>
  <c r="N52" i="9"/>
  <c r="O52" i="9" s="1"/>
  <c r="R34" i="9"/>
  <c r="S34" i="9" s="1"/>
  <c r="T34" i="9" s="1"/>
  <c r="F110" i="9"/>
  <c r="G110" i="9" s="1"/>
  <c r="F103" i="9"/>
  <c r="G103" i="9" s="1"/>
  <c r="F96" i="9"/>
  <c r="G96" i="9" s="1"/>
  <c r="F89" i="9"/>
  <c r="G89" i="9" s="1"/>
  <c r="N48" i="9"/>
  <c r="O48" i="9" s="1"/>
  <c r="F106" i="9"/>
  <c r="G106" i="9" s="1"/>
  <c r="N58" i="9"/>
  <c r="O58" i="9" s="1"/>
  <c r="N51" i="9"/>
  <c r="O51" i="9" s="1"/>
  <c r="R30" i="9"/>
  <c r="S30" i="9" s="1"/>
  <c r="T30" i="9" s="1"/>
  <c r="F92" i="9"/>
  <c r="G92" i="9" s="1"/>
  <c r="R36" i="9"/>
  <c r="S36" i="9" s="1"/>
  <c r="T36" i="9" s="1"/>
  <c r="F113" i="9"/>
  <c r="G113" i="9" s="1"/>
  <c r="F85" i="9"/>
  <c r="G85" i="9" s="1"/>
  <c r="R35" i="9"/>
  <c r="S35" i="9" s="1"/>
  <c r="T35" i="9" s="1"/>
  <c r="F95" i="9"/>
  <c r="G95" i="9" s="1"/>
  <c r="R28" i="9"/>
  <c r="S28" i="9" s="1"/>
  <c r="T28" i="9" s="1"/>
  <c r="N62" i="9"/>
  <c r="O62" i="9" s="1"/>
  <c r="F94" i="9"/>
  <c r="G94" i="9" s="1"/>
  <c r="F105" i="9"/>
  <c r="G105" i="9" s="1"/>
  <c r="N54" i="9"/>
  <c r="O54" i="9" s="1"/>
  <c r="N55" i="9"/>
  <c r="O55" i="9" s="1"/>
  <c r="N61" i="9"/>
  <c r="O61" i="9" s="1"/>
  <c r="F87" i="9"/>
  <c r="G87" i="9" s="1"/>
  <c r="F101" i="9"/>
  <c r="G101" i="9" s="1"/>
  <c r="F108" i="9"/>
  <c r="G108" i="9" s="1"/>
  <c r="F115" i="9"/>
  <c r="G115" i="9" s="1"/>
  <c r="J40" i="9" s="1"/>
  <c r="J44" i="9" s="1"/>
  <c r="F112" i="9"/>
  <c r="G112" i="9" s="1"/>
  <c r="N60" i="9"/>
  <c r="O60" i="9" s="1"/>
  <c r="N53" i="9"/>
  <c r="O53" i="9" s="1"/>
  <c r="F98" i="9"/>
  <c r="G98" i="9" s="1"/>
  <c r="R32" i="9"/>
  <c r="S32" i="9" s="1"/>
  <c r="T32" i="9" s="1"/>
  <c r="F91" i="9"/>
  <c r="G91" i="9" s="1"/>
  <c r="F92" i="8"/>
  <c r="G92" i="8" s="1"/>
  <c r="R32" i="8"/>
  <c r="S32" i="8" s="1"/>
  <c r="T32" i="8" s="1"/>
  <c r="R28" i="8"/>
  <c r="S28" i="8" s="1"/>
  <c r="T28" i="8" s="1"/>
  <c r="F85" i="8"/>
  <c r="G85" i="8" s="1"/>
  <c r="F111" i="8"/>
  <c r="G111" i="8" s="1"/>
  <c r="F104" i="8"/>
  <c r="G104" i="8" s="1"/>
  <c r="F97" i="8"/>
  <c r="G97" i="8" s="1"/>
  <c r="F90" i="8"/>
  <c r="G90" i="8" s="1"/>
  <c r="N50" i="8"/>
  <c r="O50" i="8" s="1"/>
  <c r="R33" i="8"/>
  <c r="S33" i="8" s="1"/>
  <c r="T33" i="8" s="1"/>
  <c r="F106" i="8"/>
  <c r="G106" i="8" s="1"/>
  <c r="F99" i="8"/>
  <c r="G99" i="8" s="1"/>
  <c r="N49" i="8"/>
  <c r="O49" i="8" s="1"/>
  <c r="R29" i="8"/>
  <c r="S29" i="8" s="1"/>
  <c r="T29" i="8" s="1"/>
  <c r="N51" i="8"/>
  <c r="O51" i="8" s="1"/>
  <c r="F113" i="8"/>
  <c r="G113" i="8" s="1"/>
  <c r="N47" i="8"/>
  <c r="O47" i="8" s="1"/>
  <c r="N59" i="8"/>
  <c r="O59" i="8" s="1"/>
  <c r="N52" i="8"/>
  <c r="O52" i="8" s="1"/>
  <c r="R34" i="8"/>
  <c r="S34" i="8" s="1"/>
  <c r="T34" i="8" s="1"/>
  <c r="R30" i="8"/>
  <c r="S30" i="8" s="1"/>
  <c r="T30" i="8" s="1"/>
  <c r="F110" i="8"/>
  <c r="G110" i="8" s="1"/>
  <c r="F103" i="8"/>
  <c r="G103" i="8" s="1"/>
  <c r="F96" i="8"/>
  <c r="G96" i="8" s="1"/>
  <c r="F89" i="8"/>
  <c r="G89" i="8" s="1"/>
  <c r="N48" i="8"/>
  <c r="O48" i="8" s="1"/>
  <c r="N58" i="8"/>
  <c r="O58" i="8" s="1"/>
  <c r="R35" i="8"/>
  <c r="S35" i="8" s="1"/>
  <c r="T35" i="8" s="1"/>
  <c r="N57" i="8"/>
  <c r="O57" i="8" s="1"/>
  <c r="F109" i="8"/>
  <c r="G109" i="8" s="1"/>
  <c r="F102" i="8"/>
  <c r="G102" i="8" s="1"/>
  <c r="F95" i="8"/>
  <c r="G95" i="8" s="1"/>
  <c r="F88" i="8"/>
  <c r="G88" i="8" s="1"/>
  <c r="N46" i="8"/>
  <c r="O46" i="8" s="1"/>
  <c r="R31" i="8"/>
  <c r="S31" i="8" s="1"/>
  <c r="T31" i="8" s="1"/>
  <c r="N56" i="8"/>
  <c r="O56" i="8" s="1"/>
  <c r="R36" i="8"/>
  <c r="S36" i="8" s="1"/>
  <c r="T36" i="8" s="1"/>
  <c r="N60" i="8"/>
  <c r="O60" i="8" s="1"/>
  <c r="N62" i="8"/>
  <c r="O62" i="8" s="1"/>
  <c r="N54" i="8"/>
  <c r="O54" i="8" s="1"/>
  <c r="F101" i="8"/>
  <c r="G101" i="8" s="1"/>
  <c r="N53" i="8"/>
  <c r="O53" i="8" s="1"/>
  <c r="F115" i="8"/>
  <c r="G115" i="8" s="1"/>
  <c r="J40" i="8" s="1"/>
  <c r="J44" i="8" s="1"/>
  <c r="N61" i="8"/>
  <c r="O61" i="8" s="1"/>
  <c r="F94" i="8"/>
  <c r="G94" i="8" s="1"/>
  <c r="F91" i="8"/>
  <c r="G91" i="8" s="1"/>
  <c r="F105" i="8"/>
  <c r="G105" i="8" s="1"/>
  <c r="F114" i="8"/>
  <c r="G114" i="8" s="1"/>
  <c r="F98" i="8"/>
  <c r="G98" i="8" s="1"/>
  <c r="F107" i="8"/>
  <c r="G107" i="8" s="1"/>
  <c r="N55" i="8"/>
  <c r="O55" i="8" s="1"/>
  <c r="F87" i="8"/>
  <c r="G87" i="8" s="1"/>
  <c r="F86" i="8"/>
  <c r="G86" i="8" s="1"/>
  <c r="F93" i="8"/>
  <c r="G93" i="8" s="1"/>
  <c r="F100" i="8"/>
  <c r="G100" i="8" s="1"/>
  <c r="F108" i="8"/>
  <c r="G108" i="8" s="1"/>
  <c r="F112" i="8"/>
  <c r="G112" i="8" s="1"/>
  <c r="F102" i="7"/>
  <c r="G102" i="7" s="1"/>
  <c r="R28" i="7"/>
  <c r="S28" i="7" s="1"/>
  <c r="T28" i="7" s="1"/>
  <c r="N52" i="7"/>
  <c r="O52" i="7" s="1"/>
  <c r="F105" i="7"/>
  <c r="G105" i="7" s="1"/>
  <c r="N61" i="7"/>
  <c r="O61" i="7" s="1"/>
  <c r="F92" i="7"/>
  <c r="G92" i="7" s="1"/>
  <c r="F110" i="7"/>
  <c r="G110" i="7" s="1"/>
  <c r="N53" i="7"/>
  <c r="O53" i="7" s="1"/>
  <c r="F108" i="7"/>
  <c r="G108" i="7" s="1"/>
  <c r="N60" i="7"/>
  <c r="O60" i="7" s="1"/>
  <c r="F97" i="7"/>
  <c r="G97" i="7" s="1"/>
  <c r="R34" i="7"/>
  <c r="S34" i="7" s="1"/>
  <c r="T34" i="7" s="1"/>
  <c r="F101" i="7"/>
  <c r="G101" i="7" s="1"/>
  <c r="F113" i="7"/>
  <c r="G113" i="7" s="1"/>
  <c r="N57" i="7"/>
  <c r="O57" i="7" s="1"/>
  <c r="R32" i="7"/>
  <c r="S32" i="7" s="1"/>
  <c r="T32" i="7" s="1"/>
  <c r="N56" i="7"/>
  <c r="O56" i="7" s="1"/>
  <c r="F87" i="7"/>
  <c r="G87" i="7" s="1"/>
  <c r="F94" i="7"/>
  <c r="G94" i="7" s="1"/>
  <c r="F88" i="7"/>
  <c r="G88" i="7" s="1"/>
  <c r="F115" i="7"/>
  <c r="G115" i="7" s="1"/>
  <c r="J40" i="7" s="1"/>
  <c r="J44" i="7" s="1"/>
  <c r="F93" i="7"/>
  <c r="G93" i="7" s="1"/>
  <c r="F96" i="7"/>
  <c r="G96" i="7" s="1"/>
  <c r="F89" i="7"/>
  <c r="G89" i="7" s="1"/>
  <c r="F114" i="7"/>
  <c r="G114" i="7" s="1"/>
  <c r="N46" i="7"/>
  <c r="O46" i="7" s="1"/>
  <c r="F111" i="7"/>
  <c r="G111" i="7" s="1"/>
  <c r="F100" i="7"/>
  <c r="G100" i="7" s="1"/>
  <c r="R36" i="7"/>
  <c r="S36" i="7" s="1"/>
  <c r="T36" i="7" s="1"/>
  <c r="F103" i="7"/>
  <c r="G103" i="7" s="1"/>
  <c r="F86" i="7"/>
  <c r="G86" i="7" s="1"/>
  <c r="N47" i="7"/>
  <c r="O47" i="7" s="1"/>
  <c r="F99" i="7"/>
  <c r="G99" i="7" s="1"/>
  <c r="F106" i="7"/>
  <c r="G106" i="7" s="1"/>
  <c r="N51" i="7"/>
  <c r="O51" i="7" s="1"/>
  <c r="F98" i="7"/>
  <c r="G98" i="7" s="1"/>
  <c r="R35" i="7"/>
  <c r="S35" i="7" s="1"/>
  <c r="T35" i="7" s="1"/>
  <c r="F112" i="7"/>
  <c r="G112" i="7" s="1"/>
  <c r="F109" i="7"/>
  <c r="G109" i="7" s="1"/>
  <c r="F104" i="7"/>
  <c r="G104" i="7" s="1"/>
  <c r="N50" i="7"/>
  <c r="O50" i="7" s="1"/>
  <c r="R31" i="7"/>
  <c r="S31" i="7" s="1"/>
  <c r="T31" i="7" s="1"/>
  <c r="F107" i="7"/>
  <c r="G107" i="7" s="1"/>
  <c r="F95" i="7"/>
  <c r="G95" i="7" s="1"/>
  <c r="F90" i="7"/>
  <c r="G90" i="7" s="1"/>
  <c r="N55" i="7"/>
  <c r="O55" i="7" s="1"/>
  <c r="N62" i="7"/>
  <c r="O62" i="7" s="1"/>
  <c r="R33" i="7"/>
  <c r="S33" i="7" s="1"/>
  <c r="T33" i="7" s="1"/>
  <c r="F85" i="7"/>
  <c r="G85" i="7" s="1"/>
  <c r="N54" i="7"/>
  <c r="O54" i="7" s="1"/>
  <c r="N48" i="7"/>
  <c r="O48" i="7" s="1"/>
  <c r="N58" i="7"/>
  <c r="O58" i="7" s="1"/>
  <c r="N59" i="7"/>
  <c r="O59" i="7" s="1"/>
  <c r="R30" i="7"/>
  <c r="S30" i="7" s="1"/>
  <c r="T30" i="7" s="1"/>
  <c r="N49" i="7"/>
  <c r="O49" i="7" s="1"/>
  <c r="F91" i="7"/>
  <c r="G91" i="7" s="1"/>
  <c r="R29" i="7"/>
  <c r="S29" i="7" s="1"/>
  <c r="T29" i="7" s="1"/>
  <c r="T37" i="6"/>
  <c r="R23" i="6" s="1"/>
  <c r="G51" i="6" s="1"/>
  <c r="N61" i="5"/>
  <c r="O61" i="5" s="1"/>
  <c r="R32" i="5"/>
  <c r="S32" i="5" s="1"/>
  <c r="T32" i="5" s="1"/>
  <c r="N54" i="5"/>
  <c r="O54" i="5" s="1"/>
  <c r="R28" i="5"/>
  <c r="S28" i="5" s="1"/>
  <c r="T28" i="5" s="1"/>
  <c r="F111" i="5"/>
  <c r="G111" i="5" s="1"/>
  <c r="F104" i="5"/>
  <c r="G104" i="5" s="1"/>
  <c r="F90" i="5"/>
  <c r="G90" i="5" s="1"/>
  <c r="F97" i="5"/>
  <c r="G97" i="5" s="1"/>
  <c r="F95" i="5"/>
  <c r="G95" i="5" s="1"/>
  <c r="R33" i="5"/>
  <c r="S33" i="5" s="1"/>
  <c r="T33" i="5" s="1"/>
  <c r="R29" i="5"/>
  <c r="S29" i="5" s="1"/>
  <c r="T29" i="5" s="1"/>
  <c r="R36" i="5"/>
  <c r="S36" i="5" s="1"/>
  <c r="T36" i="5" s="1"/>
  <c r="N50" i="5"/>
  <c r="O50" i="5" s="1"/>
  <c r="F88" i="5"/>
  <c r="G88" i="5" s="1"/>
  <c r="N46" i="5"/>
  <c r="O46" i="5" s="1"/>
  <c r="R30" i="5"/>
  <c r="S30" i="5" s="1"/>
  <c r="T30" i="5" s="1"/>
  <c r="N57" i="5"/>
  <c r="O57" i="5" s="1"/>
  <c r="F102" i="5"/>
  <c r="G102" i="5" s="1"/>
  <c r="R31" i="5"/>
  <c r="S31" i="5" s="1"/>
  <c r="T31" i="5" s="1"/>
  <c r="R35" i="5"/>
  <c r="S35" i="5" s="1"/>
  <c r="T35" i="5" s="1"/>
  <c r="F109" i="5"/>
  <c r="G109" i="5" s="1"/>
  <c r="N56" i="5"/>
  <c r="O56" i="5" s="1"/>
  <c r="F113" i="5"/>
  <c r="G113" i="5" s="1"/>
  <c r="F110" i="5"/>
  <c r="G110" i="5" s="1"/>
  <c r="F93" i="5"/>
  <c r="G93" i="5" s="1"/>
  <c r="F105" i="5"/>
  <c r="G105" i="5" s="1"/>
  <c r="F108" i="5"/>
  <c r="G108" i="5" s="1"/>
  <c r="N51" i="5"/>
  <c r="O51" i="5" s="1"/>
  <c r="F100" i="5"/>
  <c r="G100" i="5" s="1"/>
  <c r="N58" i="5"/>
  <c r="O58" i="5" s="1"/>
  <c r="R34" i="5"/>
  <c r="S34" i="5" s="1"/>
  <c r="T34" i="5" s="1"/>
  <c r="F107" i="5"/>
  <c r="G107" i="5" s="1"/>
  <c r="F94" i="5"/>
  <c r="G94" i="5" s="1"/>
  <c r="N47" i="5"/>
  <c r="O47" i="5" s="1"/>
  <c r="F106" i="5"/>
  <c r="G106" i="5" s="1"/>
  <c r="F85" i="5"/>
  <c r="G85" i="5" s="1"/>
  <c r="N48" i="5"/>
  <c r="O48" i="5" s="1"/>
  <c r="F114" i="5"/>
  <c r="G114" i="5" s="1"/>
  <c r="N55" i="5"/>
  <c r="O55" i="5" s="1"/>
  <c r="F112" i="5"/>
  <c r="G112" i="5" s="1"/>
  <c r="N52" i="5"/>
  <c r="O52" i="5" s="1"/>
  <c r="N53" i="5"/>
  <c r="O53" i="5" s="1"/>
  <c r="N62" i="5"/>
  <c r="O62" i="5" s="1"/>
  <c r="F86" i="5"/>
  <c r="G86" i="5" s="1"/>
  <c r="F92" i="5"/>
  <c r="G92" i="5" s="1"/>
  <c r="F89" i="5"/>
  <c r="G89" i="5" s="1"/>
  <c r="N59" i="5"/>
  <c r="O59" i="5" s="1"/>
  <c r="N60" i="5"/>
  <c r="O60" i="5" s="1"/>
  <c r="F115" i="5"/>
  <c r="G115" i="5" s="1"/>
  <c r="J40" i="5" s="1"/>
  <c r="J44" i="5" s="1"/>
  <c r="F96" i="5"/>
  <c r="G96" i="5" s="1"/>
  <c r="F91" i="5"/>
  <c r="G91" i="5" s="1"/>
  <c r="F98" i="5"/>
  <c r="G98" i="5" s="1"/>
  <c r="F87" i="5"/>
  <c r="G87" i="5" s="1"/>
  <c r="F99" i="5"/>
  <c r="G99" i="5" s="1"/>
  <c r="N49" i="5"/>
  <c r="O49" i="5" s="1"/>
  <c r="F103" i="5"/>
  <c r="G103" i="5" s="1"/>
  <c r="F101" i="5"/>
  <c r="G101" i="5" s="1"/>
  <c r="N52" i="4"/>
  <c r="O52" i="4" s="1"/>
  <c r="F109" i="4"/>
  <c r="G109" i="4" s="1"/>
  <c r="F102" i="4"/>
  <c r="G102" i="4" s="1"/>
  <c r="F95" i="4"/>
  <c r="G95" i="4" s="1"/>
  <c r="F88" i="4"/>
  <c r="G88" i="4" s="1"/>
  <c r="F93" i="4"/>
  <c r="G93" i="4" s="1"/>
  <c r="N59" i="4"/>
  <c r="O59" i="4" s="1"/>
  <c r="R29" i="4"/>
  <c r="S29" i="4" s="1"/>
  <c r="T29" i="4" s="1"/>
  <c r="R34" i="4"/>
  <c r="S34" i="4" s="1"/>
  <c r="T34" i="4" s="1"/>
  <c r="N60" i="4"/>
  <c r="O60" i="4" s="1"/>
  <c r="F107" i="4"/>
  <c r="G107" i="4" s="1"/>
  <c r="R30" i="4"/>
  <c r="S30" i="4" s="1"/>
  <c r="T30" i="4" s="1"/>
  <c r="N53" i="4"/>
  <c r="O53" i="4" s="1"/>
  <c r="F114" i="4"/>
  <c r="G114" i="4" s="1"/>
  <c r="F100" i="4"/>
  <c r="G100" i="4" s="1"/>
  <c r="F86" i="4"/>
  <c r="G86" i="4" s="1"/>
  <c r="N49" i="4"/>
  <c r="O49" i="4" s="1"/>
  <c r="F112" i="4"/>
  <c r="G112" i="4" s="1"/>
  <c r="N47" i="4"/>
  <c r="O47" i="4" s="1"/>
  <c r="N46" i="4"/>
  <c r="O46" i="4" s="1"/>
  <c r="F90" i="4"/>
  <c r="G90" i="4" s="1"/>
  <c r="F97" i="4"/>
  <c r="G97" i="4" s="1"/>
  <c r="F85" i="4"/>
  <c r="G85" i="4" s="1"/>
  <c r="N51" i="4"/>
  <c r="O51" i="4" s="1"/>
  <c r="N48" i="4"/>
  <c r="O48" i="4" s="1"/>
  <c r="R36" i="4"/>
  <c r="S36" i="4" s="1"/>
  <c r="T36" i="4" s="1"/>
  <c r="R31" i="4"/>
  <c r="S31" i="4" s="1"/>
  <c r="T31" i="4" s="1"/>
  <c r="N50" i="4"/>
  <c r="O50" i="4" s="1"/>
  <c r="F104" i="4"/>
  <c r="G104" i="4" s="1"/>
  <c r="N58" i="4"/>
  <c r="O58" i="4" s="1"/>
  <c r="F111" i="4"/>
  <c r="G111" i="4" s="1"/>
  <c r="N61" i="4"/>
  <c r="O61" i="4" s="1"/>
  <c r="F92" i="4"/>
  <c r="G92" i="4" s="1"/>
  <c r="R35" i="4"/>
  <c r="S35" i="4" s="1"/>
  <c r="T35" i="4" s="1"/>
  <c r="F94" i="4"/>
  <c r="G94" i="4" s="1"/>
  <c r="R33" i="4"/>
  <c r="S33" i="4" s="1"/>
  <c r="T33" i="4" s="1"/>
  <c r="F87" i="4"/>
  <c r="G87" i="4" s="1"/>
  <c r="F99" i="4"/>
  <c r="G99" i="4" s="1"/>
  <c r="F91" i="4"/>
  <c r="G91" i="4" s="1"/>
  <c r="R32" i="4"/>
  <c r="S32" i="4" s="1"/>
  <c r="T32" i="4" s="1"/>
  <c r="F110" i="4"/>
  <c r="G110" i="4" s="1"/>
  <c r="N57" i="4"/>
  <c r="O57" i="4" s="1"/>
  <c r="N54" i="4"/>
  <c r="O54" i="4" s="1"/>
  <c r="R37" i="4"/>
  <c r="S37" i="4" s="1"/>
  <c r="T37" i="4" s="1"/>
  <c r="F101" i="4"/>
  <c r="G101" i="4" s="1"/>
  <c r="F89" i="4"/>
  <c r="G89" i="4" s="1"/>
  <c r="F98" i="4"/>
  <c r="G98" i="4" s="1"/>
  <c r="F105" i="4"/>
  <c r="G105" i="4" s="1"/>
  <c r="F108" i="4"/>
  <c r="G108" i="4" s="1"/>
  <c r="F106" i="4"/>
  <c r="G106" i="4" s="1"/>
  <c r="F96" i="4"/>
  <c r="G96" i="4" s="1"/>
  <c r="F113" i="4"/>
  <c r="G113" i="4" s="1"/>
  <c r="R28" i="4"/>
  <c r="S28" i="4" s="1"/>
  <c r="T28" i="4" s="1"/>
  <c r="N56" i="4"/>
  <c r="O56" i="4" s="1"/>
  <c r="F103" i="4"/>
  <c r="G103" i="4" s="1"/>
  <c r="N55" i="4"/>
  <c r="O55" i="4" s="1"/>
  <c r="N62" i="4"/>
  <c r="O62" i="4" s="1"/>
  <c r="T38" i="20" l="1"/>
  <c r="R23" i="20" s="1"/>
  <c r="T23" i="20" s="1"/>
  <c r="T37" i="19"/>
  <c r="R23" i="19" s="1"/>
  <c r="N50" i="18"/>
  <c r="O50" i="18" s="1"/>
  <c r="F110" i="18"/>
  <c r="G110" i="18" s="1"/>
  <c r="F113" i="18"/>
  <c r="G113" i="18" s="1"/>
  <c r="N60" i="18"/>
  <c r="O60" i="18" s="1"/>
  <c r="F103" i="18"/>
  <c r="G103" i="18" s="1"/>
  <c r="R30" i="18"/>
  <c r="S30" i="18" s="1"/>
  <c r="T30" i="18" s="1"/>
  <c r="F104" i="18"/>
  <c r="G104" i="18" s="1"/>
  <c r="F95" i="18"/>
  <c r="G95" i="18" s="1"/>
  <c r="N53" i="18"/>
  <c r="O53" i="18" s="1"/>
  <c r="F105" i="18"/>
  <c r="G105" i="18" s="1"/>
  <c r="F90" i="18"/>
  <c r="G90" i="18" s="1"/>
  <c r="F100" i="18"/>
  <c r="G100" i="18" s="1"/>
  <c r="F97" i="18"/>
  <c r="G97" i="18" s="1"/>
  <c r="F115" i="18"/>
  <c r="G115" i="18" s="1"/>
  <c r="J40" i="18" s="1"/>
  <c r="J44" i="18" s="1"/>
  <c r="F89" i="18"/>
  <c r="G89" i="18" s="1"/>
  <c r="N51" i="18"/>
  <c r="O51" i="18" s="1"/>
  <c r="F111" i="18"/>
  <c r="G111" i="18" s="1"/>
  <c r="F99" i="18"/>
  <c r="G99" i="18" s="1"/>
  <c r="F96" i="18"/>
  <c r="G96" i="18" s="1"/>
  <c r="F109" i="18"/>
  <c r="G109" i="18" s="1"/>
  <c r="F91" i="18"/>
  <c r="G91" i="18" s="1"/>
  <c r="F112" i="18"/>
  <c r="G112" i="18" s="1"/>
  <c r="F93" i="18"/>
  <c r="G93" i="18" s="1"/>
  <c r="N61" i="18"/>
  <c r="O61" i="18" s="1"/>
  <c r="N58" i="18"/>
  <c r="O58" i="18" s="1"/>
  <c r="F92" i="18"/>
  <c r="G92" i="18" s="1"/>
  <c r="N57" i="18"/>
  <c r="O57" i="18" s="1"/>
  <c r="N52" i="18"/>
  <c r="O52" i="18" s="1"/>
  <c r="N59" i="18"/>
  <c r="O59" i="18" s="1"/>
  <c r="F85" i="18"/>
  <c r="G85" i="18" s="1"/>
  <c r="R28" i="18"/>
  <c r="S28" i="18" s="1"/>
  <c r="T28" i="18" s="1"/>
  <c r="R33" i="18"/>
  <c r="S33" i="18" s="1"/>
  <c r="T33" i="18" s="1"/>
  <c r="F106" i="18"/>
  <c r="G106" i="18" s="1"/>
  <c r="N62" i="18"/>
  <c r="O62" i="18" s="1"/>
  <c r="N56" i="18"/>
  <c r="O56" i="18" s="1"/>
  <c r="R34" i="18"/>
  <c r="S34" i="18" s="1"/>
  <c r="T34" i="18" s="1"/>
  <c r="F87" i="18"/>
  <c r="G87" i="18" s="1"/>
  <c r="R32" i="18"/>
  <c r="S32" i="18" s="1"/>
  <c r="T32" i="18" s="1"/>
  <c r="F86" i="18"/>
  <c r="G86" i="18" s="1"/>
  <c r="R31" i="18"/>
  <c r="S31" i="18" s="1"/>
  <c r="T31" i="18" s="1"/>
  <c r="R35" i="18"/>
  <c r="S35" i="18" s="1"/>
  <c r="T35" i="18" s="1"/>
  <c r="F94" i="18"/>
  <c r="G94" i="18" s="1"/>
  <c r="N49" i="18"/>
  <c r="O49" i="18" s="1"/>
  <c r="F102" i="18"/>
  <c r="G102" i="18" s="1"/>
  <c r="F107" i="18"/>
  <c r="G107" i="18" s="1"/>
  <c r="F114" i="18"/>
  <c r="G114" i="18" s="1"/>
  <c r="R36" i="18"/>
  <c r="S36" i="18" s="1"/>
  <c r="T36" i="18" s="1"/>
  <c r="N54" i="18"/>
  <c r="O54" i="18" s="1"/>
  <c r="N46" i="18"/>
  <c r="O46" i="18" s="1"/>
  <c r="N47" i="18"/>
  <c r="O47" i="18" s="1"/>
  <c r="F101" i="18"/>
  <c r="G101" i="18" s="1"/>
  <c r="F98" i="18"/>
  <c r="G98" i="18" s="1"/>
  <c r="N55" i="18"/>
  <c r="O55" i="18" s="1"/>
  <c r="F88" i="18"/>
  <c r="G88" i="18" s="1"/>
  <c r="R29" i="18"/>
  <c r="S29" i="18" s="1"/>
  <c r="T29" i="18" s="1"/>
  <c r="T37" i="17"/>
  <c r="R23" i="17" s="1"/>
  <c r="T37" i="16"/>
  <c r="R23" i="16" s="1"/>
  <c r="T23" i="16" s="1"/>
  <c r="T38" i="14"/>
  <c r="R23" i="14" s="1"/>
  <c r="S23" i="13"/>
  <c r="F51" i="13" s="1"/>
  <c r="T23" i="13"/>
  <c r="G51" i="13"/>
  <c r="T38" i="12"/>
  <c r="R23" i="12" s="1"/>
  <c r="T38" i="11"/>
  <c r="R23" i="11" s="1"/>
  <c r="T37" i="9"/>
  <c r="R23" i="9" s="1"/>
  <c r="T37" i="8"/>
  <c r="R23" i="8" s="1"/>
  <c r="T37" i="7"/>
  <c r="R23" i="7" s="1"/>
  <c r="T23" i="7" s="1"/>
  <c r="S23" i="6"/>
  <c r="F51" i="6" s="1"/>
  <c r="T23" i="6"/>
  <c r="T37" i="5"/>
  <c r="R23" i="5" s="1"/>
  <c r="T38" i="4"/>
  <c r="R23" i="4" s="1"/>
  <c r="S23" i="20" l="1"/>
  <c r="F51" i="20" s="1"/>
  <c r="G51" i="20"/>
  <c r="T23" i="19"/>
  <c r="S23" i="19"/>
  <c r="F51" i="19" s="1"/>
  <c r="G51" i="19"/>
  <c r="T37" i="18"/>
  <c r="R23" i="18" s="1"/>
  <c r="G51" i="18" s="1"/>
  <c r="T23" i="17"/>
  <c r="G51" i="17"/>
  <c r="S23" i="17"/>
  <c r="F51" i="17" s="1"/>
  <c r="S23" i="16"/>
  <c r="F51" i="16" s="1"/>
  <c r="G51" i="16"/>
  <c r="G51" i="14"/>
  <c r="T23" i="14"/>
  <c r="S23" i="14"/>
  <c r="F51" i="14" s="1"/>
  <c r="S23" i="12"/>
  <c r="F51" i="12" s="1"/>
  <c r="G51" i="12"/>
  <c r="T23" i="12"/>
  <c r="S23" i="11"/>
  <c r="F51" i="11" s="1"/>
  <c r="T23" i="11"/>
  <c r="G51" i="11"/>
  <c r="G51" i="9"/>
  <c r="T23" i="9"/>
  <c r="S23" i="9"/>
  <c r="F51" i="9" s="1"/>
  <c r="T23" i="8"/>
  <c r="G51" i="8"/>
  <c r="S23" i="8"/>
  <c r="F51" i="8" s="1"/>
  <c r="G51" i="7"/>
  <c r="S23" i="7"/>
  <c r="F51" i="7" s="1"/>
  <c r="T23" i="5"/>
  <c r="G51" i="5"/>
  <c r="S23" i="5"/>
  <c r="F51" i="5" s="1"/>
  <c r="S23" i="4"/>
  <c r="F51" i="4" s="1"/>
  <c r="G51" i="4"/>
  <c r="T23" i="4"/>
  <c r="B81" i="2"/>
  <c r="F46" i="2"/>
  <c r="E46" i="2"/>
  <c r="C46" i="2"/>
  <c r="O34" i="2" s="1"/>
  <c r="Q34" i="2" s="1"/>
  <c r="B46" i="2"/>
  <c r="A46" i="2"/>
  <c r="F45" i="2"/>
  <c r="E45" i="2"/>
  <c r="P35" i="2" s="1"/>
  <c r="C45" i="2"/>
  <c r="D45" i="2" s="1"/>
  <c r="B45" i="2"/>
  <c r="A45" i="2"/>
  <c r="F44" i="2"/>
  <c r="E44" i="2"/>
  <c r="P36" i="2" s="1"/>
  <c r="C44" i="2"/>
  <c r="O36" i="2" s="1"/>
  <c r="Q36" i="2" s="1"/>
  <c r="B44" i="2"/>
  <c r="A44" i="2"/>
  <c r="F43" i="2"/>
  <c r="E43" i="2"/>
  <c r="P31" i="2" s="1"/>
  <c r="C43" i="2"/>
  <c r="D43" i="2" s="1"/>
  <c r="B43" i="2"/>
  <c r="A43" i="2"/>
  <c r="Q42" i="2"/>
  <c r="U35" i="2" s="1"/>
  <c r="V35" i="2" s="1"/>
  <c r="W35" i="2" s="1"/>
  <c r="P42" i="2"/>
  <c r="D51" i="2" s="1"/>
  <c r="O42" i="2"/>
  <c r="C51" i="2" s="1"/>
  <c r="N42" i="2"/>
  <c r="B51" i="2" s="1"/>
  <c r="F42" i="2"/>
  <c r="E42" i="2"/>
  <c r="P32" i="2" s="1"/>
  <c r="C42" i="2"/>
  <c r="O32" i="2" s="1"/>
  <c r="Q32" i="2" s="1"/>
  <c r="B42" i="2"/>
  <c r="A42" i="2"/>
  <c r="F41" i="2"/>
  <c r="E41" i="2"/>
  <c r="P33" i="2" s="1"/>
  <c r="C41" i="2"/>
  <c r="D41" i="2" s="1"/>
  <c r="B41" i="2"/>
  <c r="A41" i="2"/>
  <c r="F40" i="2"/>
  <c r="E40" i="2"/>
  <c r="P28" i="2" s="1"/>
  <c r="C40" i="2"/>
  <c r="D40" i="2" s="1"/>
  <c r="B40" i="2"/>
  <c r="A40" i="2"/>
  <c r="F39" i="2"/>
  <c r="E39" i="2"/>
  <c r="P29" i="2" s="1"/>
  <c r="C39" i="2"/>
  <c r="D39" i="2" s="1"/>
  <c r="B39" i="2"/>
  <c r="A39" i="2"/>
  <c r="F38" i="2"/>
  <c r="E38" i="2"/>
  <c r="C38" i="2"/>
  <c r="O30" i="2" s="1"/>
  <c r="Q30" i="2" s="1"/>
  <c r="B38" i="2"/>
  <c r="A38" i="2"/>
  <c r="N36" i="2"/>
  <c r="M36" i="2"/>
  <c r="N35" i="2"/>
  <c r="M35" i="2"/>
  <c r="P34" i="2"/>
  <c r="N34" i="2"/>
  <c r="M34" i="2"/>
  <c r="O33" i="2"/>
  <c r="Q33" i="2" s="1"/>
  <c r="N33" i="2"/>
  <c r="M33" i="2"/>
  <c r="N32" i="2"/>
  <c r="M32" i="2"/>
  <c r="O31" i="2"/>
  <c r="Q31" i="2" s="1"/>
  <c r="N31" i="2"/>
  <c r="M31" i="2"/>
  <c r="P30" i="2"/>
  <c r="N30" i="2"/>
  <c r="M30" i="2"/>
  <c r="N29" i="2"/>
  <c r="M29" i="2"/>
  <c r="N28" i="2"/>
  <c r="M28" i="2"/>
  <c r="Q17" i="2"/>
  <c r="P17" i="2"/>
  <c r="O17" i="2"/>
  <c r="N17" i="2"/>
  <c r="R17" i="2" s="1"/>
  <c r="S17" i="2" s="1"/>
  <c r="T17" i="2" s="1"/>
  <c r="M17" i="2"/>
  <c r="Q16" i="2"/>
  <c r="P16" i="2"/>
  <c r="O16" i="2"/>
  <c r="N16" i="2"/>
  <c r="M16" i="2"/>
  <c r="Q15" i="2"/>
  <c r="R15" i="2" s="1"/>
  <c r="P15" i="2"/>
  <c r="O15" i="2"/>
  <c r="N15" i="2"/>
  <c r="M15" i="2"/>
  <c r="T23" i="18" l="1"/>
  <c r="S23" i="18"/>
  <c r="F51" i="18" s="1"/>
  <c r="U36" i="2"/>
  <c r="V36" i="2" s="1"/>
  <c r="W36" i="2" s="1"/>
  <c r="U31" i="2"/>
  <c r="V31" i="2" s="1"/>
  <c r="W31" i="2" s="1"/>
  <c r="U32" i="2"/>
  <c r="V32" i="2" s="1"/>
  <c r="W32" i="2" s="1"/>
  <c r="E51" i="2"/>
  <c r="D90" i="2" s="1"/>
  <c r="E90" i="2" s="1"/>
  <c r="U34" i="2"/>
  <c r="V34" i="2" s="1"/>
  <c r="W34" i="2" s="1"/>
  <c r="U30" i="2"/>
  <c r="V30" i="2" s="1"/>
  <c r="W30" i="2" s="1"/>
  <c r="U28" i="2"/>
  <c r="V28" i="2" s="1"/>
  <c r="W28" i="2" s="1"/>
  <c r="U33" i="2"/>
  <c r="V33" i="2" s="1"/>
  <c r="W33" i="2" s="1"/>
  <c r="U29" i="2"/>
  <c r="V29" i="2" s="1"/>
  <c r="W29" i="2" s="1"/>
  <c r="O28" i="2"/>
  <c r="Q28" i="2" s="1"/>
  <c r="O29" i="2"/>
  <c r="Q29" i="2" s="1"/>
  <c r="D44" i="2"/>
  <c r="D38" i="2"/>
  <c r="O35" i="2"/>
  <c r="Q35" i="2" s="1"/>
  <c r="Q37" i="2" s="1"/>
  <c r="R16" i="2"/>
  <c r="S16" i="2" s="1"/>
  <c r="T16" i="2" s="1"/>
  <c r="S15" i="2"/>
  <c r="B17" i="2" s="1"/>
  <c r="D46" i="2"/>
  <c r="D42" i="2"/>
  <c r="D103" i="2" l="1"/>
  <c r="E103" i="2" s="1"/>
  <c r="D107" i="2"/>
  <c r="E107" i="2" s="1"/>
  <c r="D104" i="2"/>
  <c r="E104" i="2" s="1"/>
  <c r="D105" i="2"/>
  <c r="E105" i="2" s="1"/>
  <c r="D88" i="2"/>
  <c r="E88" i="2" s="1"/>
  <c r="D102" i="2"/>
  <c r="E102" i="2" s="1"/>
  <c r="D87" i="2"/>
  <c r="E87" i="2" s="1"/>
  <c r="D112" i="2"/>
  <c r="E112" i="2" s="1"/>
  <c r="D96" i="2"/>
  <c r="E96" i="2" s="1"/>
  <c r="D110" i="2"/>
  <c r="E110" i="2" s="1"/>
  <c r="D94" i="2"/>
  <c r="E94" i="2" s="1"/>
  <c r="D100" i="2"/>
  <c r="E100" i="2" s="1"/>
  <c r="D111" i="2"/>
  <c r="E111" i="2" s="1"/>
  <c r="D86" i="2"/>
  <c r="E86" i="2" s="1"/>
  <c r="D109" i="2"/>
  <c r="E109" i="2" s="1"/>
  <c r="D93" i="2"/>
  <c r="E93" i="2" s="1"/>
  <c r="D106" i="2"/>
  <c r="E106" i="2" s="1"/>
  <c r="D99" i="2"/>
  <c r="E99" i="2" s="1"/>
  <c r="D114" i="2"/>
  <c r="E114" i="2" s="1"/>
  <c r="D92" i="2"/>
  <c r="E92" i="2" s="1"/>
  <c r="D97" i="2"/>
  <c r="E97" i="2" s="1"/>
  <c r="D108" i="2"/>
  <c r="E108" i="2" s="1"/>
  <c r="D85" i="2"/>
  <c r="E85" i="2" s="1"/>
  <c r="D91" i="2"/>
  <c r="E91" i="2" s="1"/>
  <c r="D101" i="2"/>
  <c r="E101" i="2" s="1"/>
  <c r="D95" i="2"/>
  <c r="E95" i="2" s="1"/>
  <c r="D89" i="2"/>
  <c r="E89" i="2" s="1"/>
  <c r="D113" i="2"/>
  <c r="E113" i="2" s="1"/>
  <c r="D98" i="2"/>
  <c r="E98" i="2" s="1"/>
  <c r="T15" i="2"/>
  <c r="B18" i="2" s="1"/>
  <c r="N23" i="2" s="1"/>
  <c r="O23" i="2" s="1"/>
  <c r="P23" i="2" s="1"/>
  <c r="A51" i="2" l="1"/>
  <c r="R35" i="2"/>
  <c r="S35" i="2" s="1"/>
  <c r="T35" i="2" s="1"/>
  <c r="F114" i="2"/>
  <c r="G114" i="2" s="1"/>
  <c r="F107" i="2"/>
  <c r="G107" i="2" s="1"/>
  <c r="F100" i="2"/>
  <c r="G100" i="2" s="1"/>
  <c r="F93" i="2"/>
  <c r="G93" i="2" s="1"/>
  <c r="F86" i="2"/>
  <c r="G86" i="2" s="1"/>
  <c r="N49" i="2"/>
  <c r="O49" i="2" s="1"/>
  <c r="F110" i="2"/>
  <c r="G110" i="2" s="1"/>
  <c r="F103" i="2"/>
  <c r="G103" i="2" s="1"/>
  <c r="F96" i="2"/>
  <c r="G96" i="2" s="1"/>
  <c r="F89" i="2"/>
  <c r="G89" i="2" s="1"/>
  <c r="N48" i="2"/>
  <c r="O48" i="2" s="1"/>
  <c r="R36" i="2"/>
  <c r="S36" i="2" s="1"/>
  <c r="T36" i="2" s="1"/>
  <c r="F90" i="2"/>
  <c r="G90" i="2" s="1"/>
  <c r="F113" i="2"/>
  <c r="G113" i="2" s="1"/>
  <c r="F106" i="2"/>
  <c r="G106" i="2" s="1"/>
  <c r="F99" i="2"/>
  <c r="G99" i="2" s="1"/>
  <c r="F92" i="2"/>
  <c r="G92" i="2" s="1"/>
  <c r="F85" i="2"/>
  <c r="G85" i="2" s="1"/>
  <c r="N47" i="2"/>
  <c r="O47" i="2" s="1"/>
  <c r="R32" i="2"/>
  <c r="S32" i="2" s="1"/>
  <c r="T32" i="2" s="1"/>
  <c r="N57" i="2"/>
  <c r="O57" i="2" s="1"/>
  <c r="R28" i="2"/>
  <c r="S28" i="2" s="1"/>
  <c r="T28" i="2" s="1"/>
  <c r="F108" i="2"/>
  <c r="G108" i="2" s="1"/>
  <c r="F101" i="2"/>
  <c r="G101" i="2" s="1"/>
  <c r="F94" i="2"/>
  <c r="G94" i="2" s="1"/>
  <c r="R34" i="2"/>
  <c r="S34" i="2" s="1"/>
  <c r="T34" i="2" s="1"/>
  <c r="F104" i="2"/>
  <c r="G104" i="2" s="1"/>
  <c r="R30" i="2"/>
  <c r="S30" i="2" s="1"/>
  <c r="T30" i="2" s="1"/>
  <c r="N56" i="2"/>
  <c r="O56" i="2" s="1"/>
  <c r="R33" i="2"/>
  <c r="S33" i="2" s="1"/>
  <c r="T33" i="2" s="1"/>
  <c r="N55" i="2"/>
  <c r="O55" i="2" s="1"/>
  <c r="F87" i="2"/>
  <c r="G87" i="2" s="1"/>
  <c r="N54" i="2"/>
  <c r="O54" i="2" s="1"/>
  <c r="F111" i="2"/>
  <c r="G111" i="2" s="1"/>
  <c r="F97" i="2"/>
  <c r="G97" i="2" s="1"/>
  <c r="N50" i="2"/>
  <c r="O50" i="2" s="1"/>
  <c r="F105" i="2"/>
  <c r="G105" i="2" s="1"/>
  <c r="F98" i="2"/>
  <c r="G98" i="2" s="1"/>
  <c r="F91" i="2"/>
  <c r="G91" i="2" s="1"/>
  <c r="N62" i="2"/>
  <c r="O62" i="2" s="1"/>
  <c r="R29" i="2"/>
  <c r="S29" i="2" s="1"/>
  <c r="T29" i="2" s="1"/>
  <c r="N61" i="2"/>
  <c r="O61" i="2" s="1"/>
  <c r="N60" i="2"/>
  <c r="O60" i="2" s="1"/>
  <c r="R31" i="2"/>
  <c r="S31" i="2" s="1"/>
  <c r="T31" i="2" s="1"/>
  <c r="F112" i="2"/>
  <c r="G112" i="2" s="1"/>
  <c r="N52" i="2"/>
  <c r="O52" i="2" s="1"/>
  <c r="N58" i="2"/>
  <c r="O58" i="2" s="1"/>
  <c r="N59" i="2"/>
  <c r="O59" i="2" s="1"/>
  <c r="N46" i="2"/>
  <c r="O46" i="2" s="1"/>
  <c r="N53" i="2"/>
  <c r="O53" i="2" s="1"/>
  <c r="F95" i="2"/>
  <c r="G95" i="2" s="1"/>
  <c r="F102" i="2"/>
  <c r="G102" i="2" s="1"/>
  <c r="N51" i="2"/>
  <c r="O51" i="2" s="1"/>
  <c r="F88" i="2"/>
  <c r="G88" i="2" s="1"/>
  <c r="F109" i="2"/>
  <c r="G109" i="2" s="1"/>
  <c r="T37" i="2" l="1"/>
  <c r="R23" i="2" s="1"/>
  <c r="S23" i="2" l="1"/>
  <c r="F51" i="2" s="1"/>
  <c r="G51" i="2"/>
  <c r="T23" i="2"/>
</calcChain>
</file>

<file path=xl/sharedStrings.xml><?xml version="1.0" encoding="utf-8"?>
<sst xmlns="http://schemas.openxmlformats.org/spreadsheetml/2006/main" count="2058" uniqueCount="146">
  <si>
    <t>Client:</t>
  </si>
  <si>
    <t>Date:</t>
  </si>
  <si>
    <t>Material:</t>
  </si>
  <si>
    <t>Test:</t>
  </si>
  <si>
    <t>Methods</t>
  </si>
  <si>
    <t>AASHTO TP132-25 - Determining the Dynamic Modulus for Asphalt Mixtures Using Small Specimens in the Asphalt Mixture Performance Tester (AMPT)</t>
  </si>
  <si>
    <t>AASHTO R131-25 - Preparation of Small Cylindrical Performance Test Specimens Using the Superpave Gyratory Compactor (SGC) or Field Cores</t>
  </si>
  <si>
    <t>AASHTO R84-17 (2025) - Developing Dynamic Modulus Mastercurves for Asphalt Mixtures using the Asphalt Mixture Performance Tester (AMPT)</t>
  </si>
  <si>
    <t>Specimen Information</t>
  </si>
  <si>
    <t>Mix ID:</t>
  </si>
  <si>
    <t>ID</t>
  </si>
  <si>
    <t>Va (%)</t>
  </si>
  <si>
    <t>VMA/VFA Calculation</t>
  </si>
  <si>
    <t>Blend Gsb</t>
  </si>
  <si>
    <t>Sample 1</t>
  </si>
  <si>
    <t>Sample ID</t>
  </si>
  <si>
    <t>Air Voids</t>
  </si>
  <si>
    <t>JMF Gsb</t>
  </si>
  <si>
    <t>QC Pb</t>
  </si>
  <si>
    <t>Gmm</t>
  </si>
  <si>
    <t>Gmb</t>
  </si>
  <si>
    <t>VMA</t>
  </si>
  <si>
    <t>VFA</t>
  </si>
  <si>
    <t>Total AC (%)</t>
  </si>
  <si>
    <t>Sample 2</t>
  </si>
  <si>
    <t>Mix Gmm</t>
  </si>
  <si>
    <t>Sample 3</t>
  </si>
  <si>
    <t>Individual Replicate Modulus and Phase Angle</t>
  </si>
  <si>
    <t>Testing Conditions</t>
  </si>
  <si>
    <t>Specimen 1</t>
  </si>
  <si>
    <t>Specimen 2</t>
  </si>
  <si>
    <t>Specimen 3</t>
  </si>
  <si>
    <r>
      <t>Temperature (</t>
    </r>
    <r>
      <rPr>
        <sz val="11"/>
        <color theme="1"/>
        <rFont val="Calibri"/>
        <family val="2"/>
      </rPr>
      <t>°</t>
    </r>
    <r>
      <rPr>
        <i/>
        <sz val="11"/>
        <color theme="1"/>
        <rFont val="Calibri"/>
        <family val="2"/>
      </rPr>
      <t>C)</t>
    </r>
  </si>
  <si>
    <t>Frequency (Hz)</t>
  </si>
  <si>
    <t>Modulus (ksi)</t>
  </si>
  <si>
    <t>Phase Angle (deg)</t>
  </si>
  <si>
    <r>
      <t>Ref. Temp (</t>
    </r>
    <r>
      <rPr>
        <i/>
        <sz val="11"/>
        <color theme="1"/>
        <rFont val="Calibri"/>
        <family val="2"/>
      </rPr>
      <t>°C)</t>
    </r>
  </si>
  <si>
    <t>Pc</t>
  </si>
  <si>
    <t>E* (ksi)</t>
  </si>
  <si>
    <t>log E*</t>
  </si>
  <si>
    <r>
      <t>S</t>
    </r>
    <r>
      <rPr>
        <i/>
        <vertAlign val="subscript"/>
        <sz val="11"/>
        <color theme="1"/>
        <rFont val="Calibri"/>
        <family val="2"/>
        <scheme val="minor"/>
      </rPr>
      <t>e</t>
    </r>
  </si>
  <si>
    <r>
      <t>R</t>
    </r>
    <r>
      <rPr>
        <i/>
        <vertAlign val="superscript"/>
        <sz val="11"/>
        <color theme="1"/>
        <rFont val="Calibri"/>
        <family val="2"/>
        <scheme val="minor"/>
      </rPr>
      <t>2</t>
    </r>
  </si>
  <si>
    <r>
      <t>Corrected R</t>
    </r>
    <r>
      <rPr>
        <i/>
        <vertAlign val="superscript"/>
        <sz val="11"/>
        <color theme="1"/>
        <rFont val="Calibri"/>
        <family val="2"/>
        <scheme val="minor"/>
      </rPr>
      <t>2</t>
    </r>
  </si>
  <si>
    <t>Condition</t>
  </si>
  <si>
    <t>Average Measured</t>
  </si>
  <si>
    <t>Log Average Modulus</t>
  </si>
  <si>
    <t>Error</t>
  </si>
  <si>
    <t>Error^2</t>
  </si>
  <si>
    <t>loga(t)</t>
  </si>
  <si>
    <t>log (wr)</t>
  </si>
  <si>
    <t>wr</t>
  </si>
  <si>
    <t>Temperature</t>
  </si>
  <si>
    <t>Frequency</t>
  </si>
  <si>
    <t>Modulus</t>
  </si>
  <si>
    <t>Phase Angle</t>
  </si>
  <si>
    <t>Measured</t>
  </si>
  <si>
    <t>Fitted</t>
  </si>
  <si>
    <t>C</t>
  </si>
  <si>
    <t>Hz</t>
  </si>
  <si>
    <t>Ksi</t>
  </si>
  <si>
    <t>deg</t>
  </si>
  <si>
    <t>Average Modulus and Phase Angle</t>
  </si>
  <si>
    <t xml:space="preserve"> Modulus (ksi)</t>
  </si>
  <si>
    <t xml:space="preserve"> Phase Angle (deg)</t>
  </si>
  <si>
    <t>Avg.</t>
  </si>
  <si>
    <t>CV(%)</t>
  </si>
  <si>
    <t>Mean</t>
  </si>
  <si>
    <t>St. Dev</t>
  </si>
  <si>
    <t>St Dev.</t>
  </si>
  <si>
    <t>SSE</t>
  </si>
  <si>
    <t>solver target</t>
  </si>
  <si>
    <t>Solver Parameters</t>
  </si>
  <si>
    <t>Log (Min)</t>
  </si>
  <si>
    <t>Beta</t>
  </si>
  <si>
    <t>Gamma</t>
  </si>
  <si>
    <t>EA</t>
  </si>
  <si>
    <t>Initial Value</t>
  </si>
  <si>
    <t>common regression seed values</t>
  </si>
  <si>
    <t>Final Value</t>
  </si>
  <si>
    <t>final regression coefficients</t>
  </si>
  <si>
    <t>Converted</t>
  </si>
  <si>
    <t>solver runs off these values</t>
  </si>
  <si>
    <t>wr (Hz)</t>
  </si>
  <si>
    <t>log E* (ksi)</t>
  </si>
  <si>
    <t>E*  (ksi)</t>
  </si>
  <si>
    <t>Mastercurve Coefficients</t>
  </si>
  <si>
    <t>Max E* (ksi)</t>
  </si>
  <si>
    <t>Min E* (ksi)</t>
  </si>
  <si>
    <r>
      <t>S</t>
    </r>
    <r>
      <rPr>
        <i/>
        <vertAlign val="subscript"/>
        <sz val="11"/>
        <color theme="1"/>
        <rFont val="Calibri"/>
        <family val="2"/>
        <scheme val="minor"/>
      </rPr>
      <t>e</t>
    </r>
    <r>
      <rPr>
        <i/>
        <sz val="11"/>
        <color theme="1"/>
        <rFont val="Calibri"/>
        <family val="2"/>
        <scheme val="minor"/>
      </rPr>
      <t>/S</t>
    </r>
    <r>
      <rPr>
        <i/>
        <vertAlign val="subscript"/>
        <sz val="11"/>
        <color theme="1"/>
        <rFont val="Calibri"/>
        <family val="2"/>
        <scheme val="minor"/>
      </rPr>
      <t>y</t>
    </r>
  </si>
  <si>
    <t>MEPDG Input Values</t>
  </si>
  <si>
    <r>
      <t>Temperature (</t>
    </r>
    <r>
      <rPr>
        <i/>
        <sz val="11"/>
        <color theme="1"/>
        <rFont val="Calibri"/>
        <family val="2"/>
      </rPr>
      <t>°C)</t>
    </r>
  </si>
  <si>
    <r>
      <t>Temperature (</t>
    </r>
    <r>
      <rPr>
        <i/>
        <sz val="11"/>
        <color theme="1"/>
        <rFont val="Calibri"/>
        <family val="2"/>
      </rPr>
      <t>°F)</t>
    </r>
  </si>
  <si>
    <t>Shift Factor - log[a(T)]</t>
  </si>
  <si>
    <t>Reduced Frequency (Hz)</t>
  </si>
  <si>
    <t>E* (MPa)</t>
  </si>
  <si>
    <t>6B</t>
  </si>
  <si>
    <t>6C</t>
  </si>
  <si>
    <t>7A</t>
  </si>
  <si>
    <t>N1-1 RH</t>
  </si>
  <si>
    <t>PMLC</t>
  </si>
  <si>
    <t>Test Track 2015</t>
  </si>
  <si>
    <t>6/23/26 (analysis)</t>
  </si>
  <si>
    <t>Dynamic Modulus (E*)</t>
  </si>
  <si>
    <t>for Glover-Rowe Mix Parameter</t>
  </si>
  <si>
    <t>raw data average</t>
  </si>
  <si>
    <r>
      <t>cos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Aptos Narrow"/>
        <family val="2"/>
      </rPr>
      <t>δ</t>
    </r>
    <r>
      <rPr>
        <sz val="8.8000000000000007"/>
        <color theme="1"/>
        <rFont val="Calibri"/>
        <family val="2"/>
      </rPr>
      <t>)</t>
    </r>
  </si>
  <si>
    <r>
      <t>sin(</t>
    </r>
    <r>
      <rPr>
        <sz val="11"/>
        <color theme="1"/>
        <rFont val="Aptos Narrow"/>
        <family val="2"/>
      </rPr>
      <t>δ</t>
    </r>
    <r>
      <rPr>
        <sz val="8.8000000000000007"/>
        <color theme="1"/>
        <rFont val="Calibri"/>
        <family val="2"/>
      </rPr>
      <t>)</t>
    </r>
  </si>
  <si>
    <r>
      <t>G-R</t>
    </r>
    <r>
      <rPr>
        <i/>
        <vertAlign val="subscript"/>
        <sz val="11"/>
        <color theme="1"/>
        <rFont val="Calibri"/>
        <family val="2"/>
        <scheme val="minor"/>
      </rPr>
      <t>m</t>
    </r>
    <r>
      <rPr>
        <i/>
        <sz val="11"/>
        <color theme="1"/>
        <rFont val="Calibri"/>
        <family val="2"/>
        <scheme val="minor"/>
      </rPr>
      <t xml:space="preserve"> (MPa)</t>
    </r>
  </si>
  <si>
    <t>Mixture Glover-Rowe Parameter (Approximation)</t>
  </si>
  <si>
    <t>N1-1 CA</t>
  </si>
  <si>
    <t>1B</t>
  </si>
  <si>
    <t>2C</t>
  </si>
  <si>
    <t>3C</t>
  </si>
  <si>
    <t>N2-1 RH</t>
  </si>
  <si>
    <t>2A</t>
  </si>
  <si>
    <t>2B</t>
  </si>
  <si>
    <t>N2-1 CA</t>
  </si>
  <si>
    <t>1D</t>
  </si>
  <si>
    <t>3D</t>
  </si>
  <si>
    <t>N5-1 RH</t>
  </si>
  <si>
    <t>1A</t>
  </si>
  <si>
    <t>N5-1 CA</t>
  </si>
  <si>
    <t>1C</t>
  </si>
  <si>
    <t>2D</t>
  </si>
  <si>
    <t>N8-1 RH</t>
  </si>
  <si>
    <t>7C</t>
  </si>
  <si>
    <t>7D</t>
  </si>
  <si>
    <t>N8-1 CA</t>
  </si>
  <si>
    <t>3B</t>
  </si>
  <si>
    <t>S5-1 RH</t>
  </si>
  <si>
    <t>S5-1 CA</t>
  </si>
  <si>
    <t>4B</t>
  </si>
  <si>
    <t>4C</t>
  </si>
  <si>
    <t>S6-1 RH</t>
  </si>
  <si>
    <t>3A</t>
  </si>
  <si>
    <t>S6-1 CA</t>
  </si>
  <si>
    <t>4D</t>
  </si>
  <si>
    <t>S13-1 RH</t>
  </si>
  <si>
    <t>S13-1 CA</t>
  </si>
  <si>
    <t>4A</t>
  </si>
  <si>
    <t>5D</t>
  </si>
  <si>
    <t>CG Base RH</t>
  </si>
  <si>
    <t>115D</t>
  </si>
  <si>
    <t>117A</t>
  </si>
  <si>
    <t>117B</t>
  </si>
  <si>
    <t>CG Base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</si>
</sst>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0"/>
    <numFmt numFmtId="167" formatCode="0.0000"/>
    <numFmt numFmtId="168" formatCode="#,##0.0"/>
    <numFmt numFmtId="169" formatCode="0.000E+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vertAlign val="subscript"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.8000000000000007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0" borderId="0" xfId="1" applyFont="1"/>
    <xf numFmtId="0" fontId="0" fillId="0" borderId="1" xfId="1" applyFont="1" applyBorder="1" applyAlignment="1">
      <alignment horizontal="center"/>
    </xf>
    <xf numFmtId="0" fontId="1" fillId="0" borderId="0" xfId="1"/>
    <xf numFmtId="0" fontId="1" fillId="2" borderId="0" xfId="1" applyFill="1"/>
    <xf numFmtId="14" fontId="1" fillId="0" borderId="2" xfId="1" applyNumberFormat="1" applyBorder="1" applyAlignment="1">
      <alignment horizontal="center"/>
    </xf>
    <xf numFmtId="0" fontId="0" fillId="0" borderId="2" xfId="1" applyFont="1" applyBorder="1" applyAlignment="1">
      <alignment horizontal="center"/>
    </xf>
    <xf numFmtId="0" fontId="3" fillId="0" borderId="0" xfId="1" applyFont="1"/>
    <xf numFmtId="0" fontId="1" fillId="0" borderId="3" xfId="1" applyBorder="1"/>
    <xf numFmtId="0" fontId="0" fillId="3" borderId="3" xfId="1" applyFont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4" borderId="3" xfId="1" applyFill="1" applyBorder="1"/>
    <xf numFmtId="0" fontId="3" fillId="2" borderId="3" xfId="1" applyFont="1" applyFill="1" applyBorder="1"/>
    <xf numFmtId="0" fontId="3" fillId="2" borderId="0" xfId="1" applyFont="1" applyFill="1"/>
    <xf numFmtId="164" fontId="1" fillId="3" borderId="4" xfId="1" applyNumberFormat="1" applyFill="1" applyBorder="1"/>
    <xf numFmtId="0" fontId="1" fillId="3" borderId="3" xfId="1" applyFill="1" applyBorder="1"/>
    <xf numFmtId="165" fontId="1" fillId="3" borderId="3" xfId="1" applyNumberFormat="1" applyFill="1" applyBorder="1"/>
    <xf numFmtId="0" fontId="3" fillId="2" borderId="1" xfId="1" applyFont="1" applyFill="1" applyBorder="1"/>
    <xf numFmtId="165" fontId="1" fillId="2" borderId="0" xfId="1" applyNumberFormat="1" applyFill="1"/>
    <xf numFmtId="2" fontId="1" fillId="3" borderId="3" xfId="1" applyNumberFormat="1" applyFill="1" applyBorder="1"/>
    <xf numFmtId="2" fontId="1" fillId="2" borderId="0" xfId="1" applyNumberFormat="1" applyFill="1"/>
    <xf numFmtId="164" fontId="1" fillId="2" borderId="0" xfId="1" applyNumberFormat="1" applyFill="1"/>
    <xf numFmtId="164" fontId="1" fillId="3" borderId="3" xfId="1" applyNumberFormat="1" applyFill="1" applyBorder="1"/>
    <xf numFmtId="165" fontId="1" fillId="0" borderId="3" xfId="1" applyNumberFormat="1" applyBorder="1"/>
    <xf numFmtId="165" fontId="1" fillId="0" borderId="0" xfId="1" applyNumberFormat="1"/>
    <xf numFmtId="0" fontId="3" fillId="2" borderId="3" xfId="1" applyFont="1" applyFill="1" applyBorder="1" applyAlignment="1">
      <alignment horizontal="center"/>
    </xf>
    <xf numFmtId="0" fontId="3" fillId="2" borderId="3" xfId="1" applyFont="1" applyFill="1" applyBorder="1" applyAlignment="1">
      <alignment wrapText="1"/>
    </xf>
    <xf numFmtId="0" fontId="1" fillId="0" borderId="0" xfId="1" applyAlignment="1">
      <alignment wrapText="1"/>
    </xf>
    <xf numFmtId="0" fontId="1" fillId="2" borderId="0" xfId="1" applyFill="1" applyAlignment="1">
      <alignment wrapText="1"/>
    </xf>
    <xf numFmtId="166" fontId="1" fillId="2" borderId="0" xfId="1" applyNumberFormat="1" applyFill="1"/>
    <xf numFmtId="167" fontId="1" fillId="2" borderId="0" xfId="1" applyNumberFormat="1" applyFill="1"/>
    <xf numFmtId="0" fontId="1" fillId="2" borderId="3" xfId="1" applyFill="1" applyBorder="1" applyAlignment="1">
      <alignment horizontal="center"/>
    </xf>
    <xf numFmtId="0" fontId="1" fillId="2" borderId="3" xfId="1" applyFill="1" applyBorder="1"/>
    <xf numFmtId="165" fontId="1" fillId="2" borderId="3" xfId="1" applyNumberFormat="1" applyFill="1" applyBorder="1"/>
    <xf numFmtId="167" fontId="1" fillId="2" borderId="3" xfId="1" applyNumberFormat="1" applyFill="1" applyBorder="1"/>
    <xf numFmtId="166" fontId="1" fillId="2" borderId="3" xfId="1" applyNumberFormat="1" applyFill="1" applyBorder="1"/>
    <xf numFmtId="2" fontId="1" fillId="0" borderId="3" xfId="1" applyNumberFormat="1" applyBorder="1"/>
    <xf numFmtId="0" fontId="3" fillId="2" borderId="3" xfId="1" applyFont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167" fontId="1" fillId="2" borderId="3" xfId="1" applyNumberFormat="1" applyFill="1" applyBorder="1" applyAlignment="1">
      <alignment horizontal="center"/>
    </xf>
    <xf numFmtId="3" fontId="1" fillId="2" borderId="3" xfId="1" applyNumberFormat="1" applyFill="1" applyBorder="1" applyAlignment="1">
      <alignment horizontal="center"/>
    </xf>
    <xf numFmtId="164" fontId="1" fillId="2" borderId="3" xfId="1" applyNumberFormat="1" applyFill="1" applyBorder="1" applyAlignment="1">
      <alignment horizontal="center"/>
    </xf>
    <xf numFmtId="0" fontId="1" fillId="2" borderId="1" xfId="1" applyFill="1" applyBorder="1"/>
    <xf numFmtId="11" fontId="1" fillId="2" borderId="0" xfId="1" applyNumberFormat="1" applyFill="1"/>
    <xf numFmtId="168" fontId="1" fillId="2" borderId="0" xfId="1" applyNumberFormat="1" applyFill="1"/>
    <xf numFmtId="2" fontId="1" fillId="0" borderId="0" xfId="1" applyNumberFormat="1"/>
    <xf numFmtId="167" fontId="1" fillId="0" borderId="0" xfId="1" applyNumberFormat="1"/>
    <xf numFmtId="3" fontId="1" fillId="0" borderId="0" xfId="1" applyNumberFormat="1"/>
    <xf numFmtId="164" fontId="1" fillId="0" borderId="0" xfId="1" applyNumberFormat="1"/>
    <xf numFmtId="0" fontId="0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0" fillId="3" borderId="5" xfId="1" applyFont="1" applyFill="1" applyBorder="1" applyAlignment="1">
      <alignment horizontal="center"/>
    </xf>
    <xf numFmtId="0" fontId="0" fillId="3" borderId="2" xfId="1" applyFont="1" applyFill="1" applyBorder="1" applyAlignment="1">
      <alignment horizontal="center"/>
    </xf>
    <xf numFmtId="0" fontId="0" fillId="3" borderId="6" xfId="1" applyFont="1" applyFill="1" applyBorder="1" applyAlignment="1">
      <alignment horizontal="center"/>
    </xf>
    <xf numFmtId="0" fontId="0" fillId="0" borderId="0" xfId="1" applyFont="1" applyAlignment="1">
      <alignment horizontal="center"/>
    </xf>
    <xf numFmtId="0" fontId="1" fillId="0" borderId="0" xfId="1" applyAlignment="1">
      <alignment horizontal="center"/>
    </xf>
    <xf numFmtId="164" fontId="1" fillId="0" borderId="3" xfId="1" applyNumberFormat="1" applyBorder="1"/>
    <xf numFmtId="169" fontId="1" fillId="0" borderId="3" xfId="1" applyNumberFormat="1" applyBorder="1"/>
    <xf numFmtId="168" fontId="1" fillId="0" borderId="3" xfId="1" applyNumberFormat="1" applyBorder="1"/>
    <xf numFmtId="3" fontId="1" fillId="0" borderId="3" xfId="1" applyNumberFormat="1" applyBorder="1"/>
    <xf numFmtId="0" fontId="0" fillId="3" borderId="3" xfId="1" applyFont="1" applyFill="1" applyBorder="1"/>
    <xf numFmtId="14" fontId="0" fillId="0" borderId="2" xfId="1" applyNumberFormat="1" applyFont="1" applyBorder="1" applyAlignment="1">
      <alignment horizontal="center"/>
    </xf>
    <xf numFmtId="165" fontId="1" fillId="5" borderId="3" xfId="1" applyNumberFormat="1" applyFill="1" applyBorder="1"/>
    <xf numFmtId="0" fontId="1" fillId="5" borderId="3" xfId="1" applyFill="1" applyBorder="1"/>
    <xf numFmtId="164" fontId="1" fillId="5" borderId="3" xfId="1" applyNumberFormat="1" applyFill="1" applyBorder="1"/>
    <xf numFmtId="169" fontId="1" fillId="5" borderId="3" xfId="1" applyNumberFormat="1" applyFill="1" applyBorder="1"/>
    <xf numFmtId="168" fontId="1" fillId="5" borderId="3" xfId="1" applyNumberFormat="1" applyFill="1" applyBorder="1"/>
    <xf numFmtId="3" fontId="1" fillId="5" borderId="3" xfId="1" applyNumberFormat="1" applyFill="1" applyBorder="1"/>
    <xf numFmtId="0" fontId="0" fillId="0" borderId="0" xfId="1" applyFont="1"/>
    <xf numFmtId="0" fontId="3" fillId="2" borderId="3" xfId="1" applyFont="1" applyFill="1" applyBorder="1" applyAlignment="1">
      <alignment horizontal="left"/>
    </xf>
    <xf numFmtId="167" fontId="1" fillId="0" borderId="3" xfId="1" applyNumberFormat="1" applyBorder="1"/>
    <xf numFmtId="0" fontId="3" fillId="2" borderId="3" xfId="1" applyFont="1" applyFill="1" applyBorder="1" applyAlignment="1">
      <alignment horizontal="center" wrapText="1"/>
    </xf>
    <xf numFmtId="0" fontId="1" fillId="0" borderId="3" xfId="1" applyFill="1" applyBorder="1"/>
  </cellXfs>
  <cellStyles count="2">
    <cellStyle name="Normal" xfId="0" builtinId="0"/>
    <cellStyle name="Normal 3" xfId="1" xr:uid="{4B92C894-40F9-4F6E-983E-8C6BE893A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'N1-1 RH'!$M$48:$M$60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'N1-1 RH'!$O$48:$O$60</c:f>
              <c:numCache>
                <c:formatCode>#,##0.0</c:formatCode>
                <c:ptCount val="13"/>
                <c:pt idx="0">
                  <c:v>2784.5280055625699</c:v>
                </c:pt>
                <c:pt idx="1">
                  <c:v>2602.9888311631744</c:v>
                </c:pt>
                <c:pt idx="2">
                  <c:v>2349.7039158762336</c:v>
                </c:pt>
                <c:pt idx="3">
                  <c:v>2016.3928238577746</c:v>
                </c:pt>
                <c:pt idx="4">
                  <c:v>1612.9778686874517</c:v>
                </c:pt>
                <c:pt idx="5">
                  <c:v>1177.517322182488</c:v>
                </c:pt>
                <c:pt idx="6">
                  <c:v>771.64667892725322</c:v>
                </c:pt>
                <c:pt idx="7">
                  <c:v>453.18854305443438</c:v>
                </c:pt>
                <c:pt idx="8">
                  <c:v>244.18458133275027</c:v>
                </c:pt>
                <c:pt idx="9">
                  <c:v>126.87287482999464</c:v>
                </c:pt>
                <c:pt idx="10">
                  <c:v>67.677318853963897</c:v>
                </c:pt>
                <c:pt idx="11">
                  <c:v>39.090645406016122</c:v>
                </c:pt>
                <c:pt idx="12">
                  <c:v>25.144681621599528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7A-467E-8393-B33CEF1D5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'N1-1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'N1-1 RH'!$W$28:$W$30</c:f>
              <c:numCache>
                <c:formatCode>0.0000</c:formatCode>
                <c:ptCount val="3"/>
                <c:pt idx="0">
                  <c:v>16.073256406234332</c:v>
                </c:pt>
                <c:pt idx="1">
                  <c:v>160.7325640623433</c:v>
                </c:pt>
                <c:pt idx="2">
                  <c:v>1607.3256406234332</c:v>
                </c:pt>
              </c:numCache>
            </c:numRef>
          </c:xVal>
          <c:yVal>
            <c:numRef>
              <c:f>'N1-1 RH'!$O$28:$O$30</c:f>
              <c:numCache>
                <c:formatCode>0.0</c:formatCode>
                <c:ptCount val="3"/>
                <c:pt idx="0">
                  <c:v>1329.7059820756799</c:v>
                </c:pt>
                <c:pt idx="1">
                  <c:v>1718.5038117678203</c:v>
                </c:pt>
                <c:pt idx="2">
                  <c:v>2155.7925918679703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7A-467E-8393-B33CEF1D594E}"/>
            </c:ext>
          </c:extLst>
        </c:ser>
        <c:ser>
          <c:idx val="2"/>
          <c:order val="2"/>
          <c:tx>
            <c:strRef>
              <c:f>'N1-1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'N1-1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'N1-1 RH'!$O$31:$O$33</c:f>
              <c:numCache>
                <c:formatCode>0.0</c:formatCode>
                <c:ptCount val="3"/>
                <c:pt idx="0">
                  <c:v>451.16405703644</c:v>
                </c:pt>
                <c:pt idx="1">
                  <c:v>735.53471536137988</c:v>
                </c:pt>
                <c:pt idx="2">
                  <c:v>1111.42418637063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7A-467E-8393-B33CEF1D594E}"/>
            </c:ext>
          </c:extLst>
        </c:ser>
        <c:ser>
          <c:idx val="3"/>
          <c:order val="3"/>
          <c:tx>
            <c:strRef>
              <c:f>'N1-1 RH'!$A$29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'N1-1 RH'!$W$34:$W$36</c:f>
              <c:numCache>
                <c:formatCode>0.0000</c:formatCode>
                <c:ptCount val="3"/>
                <c:pt idx="0">
                  <c:v>3.6256820462469795E-4</c:v>
                </c:pt>
                <c:pt idx="1">
                  <c:v>3.6256820462469809E-3</c:v>
                </c:pt>
                <c:pt idx="2">
                  <c:v>3.6256820462469815E-2</c:v>
                </c:pt>
              </c:numCache>
            </c:numRef>
          </c:xVal>
          <c:yVal>
            <c:numRef>
              <c:f>'N1-1 RH'!$O$34:$O$36</c:f>
              <c:numCache>
                <c:formatCode>0.0</c:formatCode>
                <c:ptCount val="3"/>
                <c:pt idx="0">
                  <c:v>94.298702662834998</c:v>
                </c:pt>
                <c:pt idx="1">
                  <c:v>185.79334239081001</c:v>
                </c:pt>
                <c:pt idx="2">
                  <c:v>360.51547078019001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7A-467E-8393-B33CEF1D5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'N1-1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'N1-1 RH'!$W$28:$W$30</c:f>
              <c:numCache>
                <c:formatCode>0.0000</c:formatCode>
                <c:ptCount val="3"/>
                <c:pt idx="0">
                  <c:v>16.073256406234332</c:v>
                </c:pt>
                <c:pt idx="1">
                  <c:v>160.7325640623433</c:v>
                </c:pt>
                <c:pt idx="2">
                  <c:v>1607.3256406234332</c:v>
                </c:pt>
              </c:numCache>
            </c:numRef>
          </c:xVal>
          <c:yVal>
            <c:numRef>
              <c:f>'N1-1 RH'!$P$28:$P$30</c:f>
              <c:numCache>
                <c:formatCode>0.0</c:formatCode>
                <c:ptCount val="3"/>
                <c:pt idx="0">
                  <c:v>12.623333333333335</c:v>
                </c:pt>
                <c:pt idx="1">
                  <c:v>10.139999999999999</c:v>
                </c:pt>
                <c:pt idx="2">
                  <c:v>8.4966666666666679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9-43FA-8B51-FA47E7FF3CC4}"/>
            </c:ext>
          </c:extLst>
        </c:ser>
        <c:ser>
          <c:idx val="2"/>
          <c:order val="1"/>
          <c:tx>
            <c:strRef>
              <c:f>'N1-1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'N1-1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'N1-1 RH'!$P$31:$P$33</c:f>
              <c:numCache>
                <c:formatCode>0.0</c:formatCode>
                <c:ptCount val="3"/>
                <c:pt idx="0">
                  <c:v>22.876666666666665</c:v>
                </c:pt>
                <c:pt idx="1">
                  <c:v>19.22</c:v>
                </c:pt>
                <c:pt idx="2">
                  <c:v>15.436666666666666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F9-43FA-8B51-FA47E7FF3CC4}"/>
            </c:ext>
          </c:extLst>
        </c:ser>
        <c:ser>
          <c:idx val="3"/>
          <c:order val="2"/>
          <c:tx>
            <c:strRef>
              <c:f>'N1-1 RH'!$A$29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'N1-1 RH'!$W$34:$W$36</c:f>
              <c:numCache>
                <c:formatCode>0.0000</c:formatCode>
                <c:ptCount val="3"/>
                <c:pt idx="0">
                  <c:v>3.6256820462469795E-4</c:v>
                </c:pt>
                <c:pt idx="1">
                  <c:v>3.6256820462469809E-3</c:v>
                </c:pt>
                <c:pt idx="2">
                  <c:v>3.6256820462469815E-2</c:v>
                </c:pt>
              </c:numCache>
            </c:numRef>
          </c:xVal>
          <c:yVal>
            <c:numRef>
              <c:f>'N1-1 RH'!$P$34:$P$36</c:f>
              <c:numCache>
                <c:formatCode>0.0</c:formatCode>
                <c:ptCount val="3"/>
                <c:pt idx="0">
                  <c:v>28.043333333333333</c:v>
                </c:pt>
                <c:pt idx="1">
                  <c:v>28.343333333333334</c:v>
                </c:pt>
                <c:pt idx="2">
                  <c:v>25.84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F9-43FA-8B51-FA47E7FF3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'N1-1 CA'!$M$48:$M$60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'N1-1 CA'!$O$48:$O$60</c:f>
              <c:numCache>
                <c:formatCode>#,##0.0</c:formatCode>
                <c:ptCount val="13"/>
                <c:pt idx="0">
                  <c:v>2751.8963322363343</c:v>
                </c:pt>
                <c:pt idx="1">
                  <c:v>2567.7647475100084</c:v>
                </c:pt>
                <c:pt idx="2">
                  <c:v>2319.6749294366223</c:v>
                </c:pt>
                <c:pt idx="3">
                  <c:v>2002.3416252583233</c:v>
                </c:pt>
                <c:pt idx="4">
                  <c:v>1624.7899297401314</c:v>
                </c:pt>
                <c:pt idx="5">
                  <c:v>1217.2216670873029</c:v>
                </c:pt>
                <c:pt idx="6">
                  <c:v>828.60677508576327</c:v>
                </c:pt>
                <c:pt idx="7">
                  <c:v>508.93385713038401</c:v>
                </c:pt>
                <c:pt idx="8">
                  <c:v>284.80407880723322</c:v>
                </c:pt>
                <c:pt idx="9">
                  <c:v>149.83256082669359</c:v>
                </c:pt>
                <c:pt idx="10">
                  <c:v>77.81346481744734</c:v>
                </c:pt>
                <c:pt idx="11">
                  <c:v>42.056706992026839</c:v>
                </c:pt>
                <c:pt idx="12">
                  <c:v>24.643428815012495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43-4E6F-9AB8-FA6469023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'N1-1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'N1-1 CA'!$W$28:$W$30</c:f>
              <c:numCache>
                <c:formatCode>0.0000</c:formatCode>
                <c:ptCount val="3"/>
                <c:pt idx="0">
                  <c:v>19.454732060283664</c:v>
                </c:pt>
                <c:pt idx="1">
                  <c:v>194.54732060283666</c:v>
                </c:pt>
                <c:pt idx="2">
                  <c:v>1945.4732060283673</c:v>
                </c:pt>
              </c:numCache>
            </c:numRef>
          </c:xVal>
          <c:yVal>
            <c:numRef>
              <c:f>'N1-1 CA'!$O$28:$O$30</c:f>
              <c:numCache>
                <c:formatCode>0.0</c:formatCode>
                <c:ptCount val="3"/>
                <c:pt idx="0">
                  <c:v>1389.1714546597798</c:v>
                </c:pt>
                <c:pt idx="1">
                  <c:v>1765.4960388830598</c:v>
                </c:pt>
                <c:pt idx="2">
                  <c:v>2178.08005760884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43-4E6F-9AB8-FA646902343A}"/>
            </c:ext>
          </c:extLst>
        </c:ser>
        <c:ser>
          <c:idx val="2"/>
          <c:order val="2"/>
          <c:tx>
            <c:strRef>
              <c:f>'N1-1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'N1-1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'N1-1 CA'!$O$31:$O$33</c:f>
              <c:numCache>
                <c:formatCode>0.0</c:formatCode>
                <c:ptCount val="3"/>
                <c:pt idx="0">
                  <c:v>501.97561125261001</c:v>
                </c:pt>
                <c:pt idx="1">
                  <c:v>786.9264205295899</c:v>
                </c:pt>
                <c:pt idx="2">
                  <c:v>1153.2917467428501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43-4E6F-9AB8-FA646902343A}"/>
            </c:ext>
          </c:extLst>
        </c:ser>
        <c:ser>
          <c:idx val="3"/>
          <c:order val="3"/>
          <c:tx>
            <c:strRef>
              <c:f>'N1-1 CA'!$A$30</c:f>
              <c:strCache>
                <c:ptCount val="1"/>
                <c:pt idx="0">
                  <c:v>35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'N1-1 CA'!$W$34:$W$37</c:f>
              <c:numCache>
                <c:formatCode>0.0000</c:formatCode>
                <c:ptCount val="4"/>
                <c:pt idx="0">
                  <c:v>1.1746900354924178E-4</c:v>
                </c:pt>
                <c:pt idx="1">
                  <c:v>1.1746900354924182E-3</c:v>
                </c:pt>
                <c:pt idx="2">
                  <c:v>1.1746900354924183E-2</c:v>
                </c:pt>
                <c:pt idx="3">
                  <c:v>0.11746900354924192</c:v>
                </c:pt>
              </c:numCache>
            </c:numRef>
          </c:xVal>
          <c:yVal>
            <c:numRef>
              <c:f>'N1-1 CA'!$O$34:$O$37</c:f>
              <c:numCache>
                <c:formatCode>0.0</c:formatCode>
                <c:ptCount val="4"/>
                <c:pt idx="0">
                  <c:v>80.191365345729011</c:v>
                </c:pt>
                <c:pt idx="1">
                  <c:v>159.662376592675</c:v>
                </c:pt>
                <c:pt idx="2">
                  <c:v>303.99909886896</c:v>
                </c:pt>
                <c:pt idx="3">
                  <c:v>540.16888226190997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43-4E6F-9AB8-FA6469023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'N1-1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'N1-1 CA'!$W$28:$W$30</c:f>
              <c:numCache>
                <c:formatCode>0.0000</c:formatCode>
                <c:ptCount val="3"/>
                <c:pt idx="0">
                  <c:v>19.454732060283664</c:v>
                </c:pt>
                <c:pt idx="1">
                  <c:v>194.54732060283666</c:v>
                </c:pt>
                <c:pt idx="2">
                  <c:v>1945.4732060283673</c:v>
                </c:pt>
              </c:numCache>
            </c:numRef>
          </c:xVal>
          <c:yVal>
            <c:numRef>
              <c:f>'N1-1 CA'!$P$28:$P$30</c:f>
              <c:numCache>
                <c:formatCode>0.0</c:formatCode>
                <c:ptCount val="3"/>
                <c:pt idx="0">
                  <c:v>11.29</c:v>
                </c:pt>
                <c:pt idx="1">
                  <c:v>9.26</c:v>
                </c:pt>
                <c:pt idx="2">
                  <c:v>7.8166666666666664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02-40C4-9CC3-344BED971197}"/>
            </c:ext>
          </c:extLst>
        </c:ser>
        <c:ser>
          <c:idx val="2"/>
          <c:order val="1"/>
          <c:tx>
            <c:strRef>
              <c:f>'N1-1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'N1-1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'N1-1 CA'!$P$31:$P$33</c:f>
              <c:numCache>
                <c:formatCode>0.0</c:formatCode>
                <c:ptCount val="3"/>
                <c:pt idx="0">
                  <c:v>21.393333333333334</c:v>
                </c:pt>
                <c:pt idx="1">
                  <c:v>17.37</c:v>
                </c:pt>
                <c:pt idx="2">
                  <c:v>14.053333333333333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02-40C4-9CC3-344BED971197}"/>
            </c:ext>
          </c:extLst>
        </c:ser>
        <c:ser>
          <c:idx val="3"/>
          <c:order val="2"/>
          <c:tx>
            <c:strRef>
              <c:f>'N1-1 CA'!$A$30</c:f>
              <c:strCache>
                <c:ptCount val="1"/>
                <c:pt idx="0">
                  <c:v>35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'N1-1 CA'!$W$34:$W$37</c:f>
              <c:numCache>
                <c:formatCode>0.0000</c:formatCode>
                <c:ptCount val="4"/>
                <c:pt idx="0">
                  <c:v>1.1746900354924178E-4</c:v>
                </c:pt>
                <c:pt idx="1">
                  <c:v>1.1746900354924182E-3</c:v>
                </c:pt>
                <c:pt idx="2">
                  <c:v>1.1746900354924183E-2</c:v>
                </c:pt>
                <c:pt idx="3">
                  <c:v>0.11746900354924192</c:v>
                </c:pt>
              </c:numCache>
            </c:numRef>
          </c:xVal>
          <c:yVal>
            <c:numRef>
              <c:f>'N1-1 CA'!$P$34:$P$37</c:f>
              <c:numCache>
                <c:formatCode>0.0</c:formatCode>
                <c:ptCount val="4"/>
                <c:pt idx="0">
                  <c:v>31.506666666666664</c:v>
                </c:pt>
                <c:pt idx="1">
                  <c:v>29.84</c:v>
                </c:pt>
                <c:pt idx="2">
                  <c:v>26.363333333333333</c:v>
                </c:pt>
                <c:pt idx="3">
                  <c:v>21.936666666666667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02-40C4-9CC3-344BED971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'N2-1 RH'!$M$48:$M$60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'N2-1 RH'!$O$48:$O$60</c:f>
              <c:numCache>
                <c:formatCode>#,##0.0</c:formatCode>
                <c:ptCount val="13"/>
                <c:pt idx="0">
                  <c:v>3029.6060108635152</c:v>
                </c:pt>
                <c:pt idx="1">
                  <c:v>2870.7774439026075</c:v>
                </c:pt>
                <c:pt idx="2">
                  <c:v>2638.2564675604312</c:v>
                </c:pt>
                <c:pt idx="3">
                  <c:v>2315.1129220911084</c:v>
                </c:pt>
                <c:pt idx="4">
                  <c:v>1899.5431196919885</c:v>
                </c:pt>
                <c:pt idx="5">
                  <c:v>1421.2366576930742</c:v>
                </c:pt>
                <c:pt idx="6">
                  <c:v>947.11480070960306</c:v>
                </c:pt>
                <c:pt idx="7">
                  <c:v>556.28989972199838</c:v>
                </c:pt>
                <c:pt idx="8">
                  <c:v>292.96011036858386</c:v>
                </c:pt>
                <c:pt idx="9">
                  <c:v>145.67427076808789</c:v>
                </c:pt>
                <c:pt idx="10">
                  <c:v>73.626137083383128</c:v>
                </c:pt>
                <c:pt idx="11">
                  <c:v>40.45208453498843</c:v>
                </c:pt>
                <c:pt idx="12">
                  <c:v>25.075114174782737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91-4FA6-9A41-9A6E4696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'N2-1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'N2-1 RH'!$W$28:$W$30</c:f>
              <c:numCache>
                <c:formatCode>0.0000</c:formatCode>
                <c:ptCount val="3"/>
                <c:pt idx="0">
                  <c:v>13.762579355816218</c:v>
                </c:pt>
                <c:pt idx="1">
                  <c:v>137.6257935581622</c:v>
                </c:pt>
                <c:pt idx="2">
                  <c:v>1376.2579355816224</c:v>
                </c:pt>
              </c:numCache>
            </c:numRef>
          </c:xVal>
          <c:yVal>
            <c:numRef>
              <c:f>'N2-1 RH'!$O$28:$O$30</c:f>
              <c:numCache>
                <c:formatCode>0.0</c:formatCode>
                <c:ptCount val="3"/>
                <c:pt idx="0">
                  <c:v>1543.6366456404301</c:v>
                </c:pt>
                <c:pt idx="1">
                  <c:v>1986.9686648243303</c:v>
                </c:pt>
                <c:pt idx="2">
                  <c:v>2466.3183889473798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91-4FA6-9A41-9A6E4696309C}"/>
            </c:ext>
          </c:extLst>
        </c:ser>
        <c:ser>
          <c:idx val="2"/>
          <c:order val="2"/>
          <c:tx>
            <c:strRef>
              <c:f>'N2-1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'N2-1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'N2-1 RH'!$O$31:$O$33</c:f>
              <c:numCache>
                <c:formatCode>0.0</c:formatCode>
                <c:ptCount val="3"/>
                <c:pt idx="0">
                  <c:v>557.42837308509991</c:v>
                </c:pt>
                <c:pt idx="1">
                  <c:v>902.76322728691002</c:v>
                </c:pt>
                <c:pt idx="2">
                  <c:v>1345.32171186809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91-4FA6-9A41-9A6E4696309C}"/>
            </c:ext>
          </c:extLst>
        </c:ser>
        <c:ser>
          <c:idx val="3"/>
          <c:order val="3"/>
          <c:tx>
            <c:strRef>
              <c:f>'N2-1 RH'!$A$29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'N2-1 RH'!$W$34:$W$36</c:f>
              <c:numCache>
                <c:formatCode>0.0000</c:formatCode>
                <c:ptCount val="3"/>
                <c:pt idx="0">
                  <c:v>4.3048569799646551E-4</c:v>
                </c:pt>
                <c:pt idx="1">
                  <c:v>4.3048569799646564E-3</c:v>
                </c:pt>
                <c:pt idx="2">
                  <c:v>4.3048569799646573E-2</c:v>
                </c:pt>
              </c:numCache>
            </c:numRef>
          </c:xVal>
          <c:yVal>
            <c:numRef>
              <c:f>'N2-1 RH'!$O$34:$O$36</c:f>
              <c:numCache>
                <c:formatCode>0.0</c:formatCode>
                <c:ptCount val="3"/>
                <c:pt idx="0">
                  <c:v>111.509847573355</c:v>
                </c:pt>
                <c:pt idx="1">
                  <c:v>230.99677073726002</c:v>
                </c:pt>
                <c:pt idx="2">
                  <c:v>457.20729612018999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91-4FA6-9A41-9A6E4696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'N2-1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'N2-1 RH'!$W$28:$W$30</c:f>
              <c:numCache>
                <c:formatCode>0.0000</c:formatCode>
                <c:ptCount val="3"/>
                <c:pt idx="0">
                  <c:v>13.762579355816218</c:v>
                </c:pt>
                <c:pt idx="1">
                  <c:v>137.6257935581622</c:v>
                </c:pt>
                <c:pt idx="2">
                  <c:v>1376.2579355816224</c:v>
                </c:pt>
              </c:numCache>
            </c:numRef>
          </c:xVal>
          <c:yVal>
            <c:numRef>
              <c:f>'N2-1 RH'!$P$28:$P$30</c:f>
              <c:numCache>
                <c:formatCode>0.0</c:formatCode>
                <c:ptCount val="3"/>
                <c:pt idx="0">
                  <c:v>11.590000000000002</c:v>
                </c:pt>
                <c:pt idx="1">
                  <c:v>9.4933333333333323</c:v>
                </c:pt>
                <c:pt idx="2">
                  <c:v>8.0633333333333326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F6-4A73-AF5E-2975188D94A9}"/>
            </c:ext>
          </c:extLst>
        </c:ser>
        <c:ser>
          <c:idx val="2"/>
          <c:order val="1"/>
          <c:tx>
            <c:strRef>
              <c:f>'N2-1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'N2-1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'N2-1 RH'!$P$31:$P$33</c:f>
              <c:numCache>
                <c:formatCode>0.0</c:formatCode>
                <c:ptCount val="3"/>
                <c:pt idx="0">
                  <c:v>23.14</c:v>
                </c:pt>
                <c:pt idx="1">
                  <c:v>18.556666666666668</c:v>
                </c:pt>
                <c:pt idx="2">
                  <c:v>14.666666666666666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F6-4A73-AF5E-2975188D94A9}"/>
            </c:ext>
          </c:extLst>
        </c:ser>
        <c:ser>
          <c:idx val="3"/>
          <c:order val="2"/>
          <c:tx>
            <c:strRef>
              <c:f>'N2-1 RH'!$A$29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'N2-1 RH'!$W$34:$W$36</c:f>
              <c:numCache>
                <c:formatCode>0.0000</c:formatCode>
                <c:ptCount val="3"/>
                <c:pt idx="0">
                  <c:v>4.3048569799646551E-4</c:v>
                </c:pt>
                <c:pt idx="1">
                  <c:v>4.3048569799646564E-3</c:v>
                </c:pt>
                <c:pt idx="2">
                  <c:v>4.3048569799646573E-2</c:v>
                </c:pt>
              </c:numCache>
            </c:numRef>
          </c:xVal>
          <c:yVal>
            <c:numRef>
              <c:f>'N2-1 RH'!$P$34:$P$36</c:f>
              <c:numCache>
                <c:formatCode>0.0</c:formatCode>
                <c:ptCount val="3"/>
                <c:pt idx="0">
                  <c:v>30.666666666666668</c:v>
                </c:pt>
                <c:pt idx="1">
                  <c:v>29.676666666666666</c:v>
                </c:pt>
                <c:pt idx="2">
                  <c:v>25.786666666666665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F6-4A73-AF5E-2975188D9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'N2-1 CA'!$M$48:$M$60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'N2-1 CA'!$O$48:$O$60</c:f>
              <c:numCache>
                <c:formatCode>#,##0.0</c:formatCode>
                <c:ptCount val="13"/>
                <c:pt idx="0">
                  <c:v>3053.1722971055497</c:v>
                </c:pt>
                <c:pt idx="1">
                  <c:v>2913.646482027621</c:v>
                </c:pt>
                <c:pt idx="2">
                  <c:v>2715.9103892525964</c:v>
                </c:pt>
                <c:pt idx="3">
                  <c:v>2446.637549567688</c:v>
                </c:pt>
                <c:pt idx="4">
                  <c:v>2100.4322759664074</c:v>
                </c:pt>
                <c:pt idx="5">
                  <c:v>1689.6554325009358</c:v>
                </c:pt>
                <c:pt idx="6">
                  <c:v>1251.8145104069451</c:v>
                </c:pt>
                <c:pt idx="7">
                  <c:v>843.82372682380674</c:v>
                </c:pt>
                <c:pt idx="8">
                  <c:v>518.09362781588743</c:v>
                </c:pt>
                <c:pt idx="9">
                  <c:v>296.08432740751095</c:v>
                </c:pt>
                <c:pt idx="10">
                  <c:v>164.30192911058043</c:v>
                </c:pt>
                <c:pt idx="11">
                  <c:v>93.2503985468976</c:v>
                </c:pt>
                <c:pt idx="12">
                  <c:v>56.593428650744748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1E-4B46-9451-21D8BC7B1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'N2-1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'N2-1 CA'!$W$28:$W$30</c:f>
              <c:numCache>
                <c:formatCode>0.0000</c:formatCode>
                <c:ptCount val="3"/>
                <c:pt idx="0">
                  <c:v>27.223491631834548</c:v>
                </c:pt>
                <c:pt idx="1">
                  <c:v>272.23491631834565</c:v>
                </c:pt>
                <c:pt idx="2">
                  <c:v>2722.3491631834572</c:v>
                </c:pt>
              </c:numCache>
            </c:numRef>
          </c:xVal>
          <c:yVal>
            <c:numRef>
              <c:f>'N2-1 CA'!$O$28:$O$30</c:f>
              <c:numCache>
                <c:formatCode>0.0</c:formatCode>
                <c:ptCount val="3"/>
                <c:pt idx="0">
                  <c:v>1877.12675123809</c:v>
                </c:pt>
                <c:pt idx="1">
                  <c:v>2280.8634679452603</c:v>
                </c:pt>
                <c:pt idx="2">
                  <c:v>2718.63570717211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1E-4B46-9451-21D8BC7B105A}"/>
            </c:ext>
          </c:extLst>
        </c:ser>
        <c:ser>
          <c:idx val="2"/>
          <c:order val="2"/>
          <c:tx>
            <c:strRef>
              <c:f>'N2-1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'N2-1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'N2-1 CA'!$O$31:$O$33</c:f>
              <c:numCache>
                <c:formatCode>0.0</c:formatCode>
                <c:ptCount val="3"/>
                <c:pt idx="0">
                  <c:v>858.9134844952199</c:v>
                </c:pt>
                <c:pt idx="1">
                  <c:v>1208.1643576233</c:v>
                </c:pt>
                <c:pt idx="2">
                  <c:v>1624.9544707513699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1E-4B46-9451-21D8BC7B105A}"/>
            </c:ext>
          </c:extLst>
        </c:ser>
        <c:ser>
          <c:idx val="3"/>
          <c:order val="3"/>
          <c:tx>
            <c:strRef>
              <c:f>'N2-1 CA'!$A$29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'N2-1 CA'!$W$34:$W$36</c:f>
              <c:numCache>
                <c:formatCode>0.0000</c:formatCode>
                <c:ptCount val="3"/>
                <c:pt idx="0">
                  <c:v>2.0240644058864475E-4</c:v>
                </c:pt>
                <c:pt idx="1">
                  <c:v>2.0240644058864459E-3</c:v>
                </c:pt>
                <c:pt idx="2">
                  <c:v>2.0240644058864474E-2</c:v>
                </c:pt>
              </c:numCache>
            </c:numRef>
          </c:xVal>
          <c:yVal>
            <c:numRef>
              <c:f>'N2-1 CA'!$O$34:$O$36</c:f>
              <c:numCache>
                <c:formatCode>0.0</c:formatCode>
                <c:ptCount val="3"/>
                <c:pt idx="0">
                  <c:v>195.02741171078</c:v>
                </c:pt>
                <c:pt idx="1">
                  <c:v>357.13125689328996</c:v>
                </c:pt>
                <c:pt idx="2">
                  <c:v>615.39512237642987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1E-4B46-9451-21D8BC7B1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'N2-1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'N2-1 CA'!$W$28:$W$30</c:f>
              <c:numCache>
                <c:formatCode>0.0000</c:formatCode>
                <c:ptCount val="3"/>
                <c:pt idx="0">
                  <c:v>27.223491631834548</c:v>
                </c:pt>
                <c:pt idx="1">
                  <c:v>272.23491631834565</c:v>
                </c:pt>
                <c:pt idx="2">
                  <c:v>2722.3491631834572</c:v>
                </c:pt>
              </c:numCache>
            </c:numRef>
          </c:xVal>
          <c:yVal>
            <c:numRef>
              <c:f>'N2-1 CA'!$P$28:$P$30</c:f>
              <c:numCache>
                <c:formatCode>0.0</c:formatCode>
                <c:ptCount val="3"/>
                <c:pt idx="0">
                  <c:v>8.6433333333333326</c:v>
                </c:pt>
                <c:pt idx="1">
                  <c:v>7.4466666666666663</c:v>
                </c:pt>
                <c:pt idx="2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83-42AD-8D23-49A9BD2AEBCA}"/>
            </c:ext>
          </c:extLst>
        </c:ser>
        <c:ser>
          <c:idx val="2"/>
          <c:order val="1"/>
          <c:tx>
            <c:strRef>
              <c:f>'N2-1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'N2-1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'N2-1 CA'!$P$31:$P$33</c:f>
              <c:numCache>
                <c:formatCode>0.0</c:formatCode>
                <c:ptCount val="3"/>
                <c:pt idx="0">
                  <c:v>16.326666666666664</c:v>
                </c:pt>
                <c:pt idx="1">
                  <c:v>13.323333333333332</c:v>
                </c:pt>
                <c:pt idx="2">
                  <c:v>11.003333333333332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83-42AD-8D23-49A9BD2AEBCA}"/>
            </c:ext>
          </c:extLst>
        </c:ser>
        <c:ser>
          <c:idx val="3"/>
          <c:order val="2"/>
          <c:tx>
            <c:strRef>
              <c:f>'N2-1 CA'!$A$29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'N2-1 CA'!$W$34:$W$36</c:f>
              <c:numCache>
                <c:formatCode>0.0000</c:formatCode>
                <c:ptCount val="3"/>
                <c:pt idx="0">
                  <c:v>2.0240644058864475E-4</c:v>
                </c:pt>
                <c:pt idx="1">
                  <c:v>2.0240644058864459E-3</c:v>
                </c:pt>
                <c:pt idx="2">
                  <c:v>2.0240644058864474E-2</c:v>
                </c:pt>
              </c:numCache>
            </c:numRef>
          </c:xVal>
          <c:yVal>
            <c:numRef>
              <c:f>'N2-1 CA'!$P$34:$P$36</c:f>
              <c:numCache>
                <c:formatCode>0.0</c:formatCode>
                <c:ptCount val="3"/>
                <c:pt idx="0">
                  <c:v>27.763333333333332</c:v>
                </c:pt>
                <c:pt idx="1">
                  <c:v>24.959999999999997</c:v>
                </c:pt>
                <c:pt idx="2">
                  <c:v>20.983333333333334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83-42AD-8D23-49A9BD2AE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'N5-1 RH'!$M$48:$M$60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'N5-1 RH'!$O$48:$O$60</c:f>
              <c:numCache>
                <c:formatCode>#,##0.0</c:formatCode>
                <c:ptCount val="13"/>
                <c:pt idx="0">
                  <c:v>2515.8753120234301</c:v>
                </c:pt>
                <c:pt idx="1">
                  <c:v>2311.4262611446611</c:v>
                </c:pt>
                <c:pt idx="2">
                  <c:v>2039.1166207607139</c:v>
                </c:pt>
                <c:pt idx="3">
                  <c:v>1698.750381293125</c:v>
                </c:pt>
                <c:pt idx="4">
                  <c:v>1309.373265090147</c:v>
                </c:pt>
                <c:pt idx="5">
                  <c:v>913.64908386912464</c:v>
                </c:pt>
                <c:pt idx="6">
                  <c:v>567.19404765361935</c:v>
                </c:pt>
                <c:pt idx="7">
                  <c:v>312.12325214647188</c:v>
                </c:pt>
                <c:pt idx="8">
                  <c:v>155.2866303181469</c:v>
                </c:pt>
                <c:pt idx="9">
                  <c:v>73.155953958964119</c:v>
                </c:pt>
                <c:pt idx="10">
                  <c:v>34.762789061121602</c:v>
                </c:pt>
                <c:pt idx="11">
                  <c:v>17.699320535768297</c:v>
                </c:pt>
                <c:pt idx="12">
                  <c:v>10.045961587855301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90-46FA-9243-AA4638C55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'N5-1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'N5-1 RH'!$W$28:$W$30</c:f>
              <c:numCache>
                <c:formatCode>0.0000</c:formatCode>
                <c:ptCount val="3"/>
                <c:pt idx="0">
                  <c:v>12.827975114063662</c:v>
                </c:pt>
                <c:pt idx="1">
                  <c:v>128.27975114063665</c:v>
                </c:pt>
                <c:pt idx="2">
                  <c:v>1282.7975114063668</c:v>
                </c:pt>
              </c:numCache>
            </c:numRef>
          </c:xVal>
          <c:yVal>
            <c:numRef>
              <c:f>'N5-1 RH'!$O$28:$O$30</c:f>
              <c:numCache>
                <c:formatCode>0.0</c:formatCode>
                <c:ptCount val="3"/>
                <c:pt idx="0">
                  <c:v>1016.81123527544</c:v>
                </c:pt>
                <c:pt idx="1">
                  <c:v>1372.1536933999398</c:v>
                </c:pt>
                <c:pt idx="2">
                  <c:v>1763.2721269002398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90-46FA-9243-AA4638C551E3}"/>
            </c:ext>
          </c:extLst>
        </c:ser>
        <c:ser>
          <c:idx val="2"/>
          <c:order val="2"/>
          <c:tx>
            <c:strRef>
              <c:f>'N5-1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'N5-1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'N5-1 RH'!$O$31:$O$33</c:f>
              <c:numCache>
                <c:formatCode>0.0</c:formatCode>
                <c:ptCount val="3"/>
                <c:pt idx="0">
                  <c:v>309.46218700066999</c:v>
                </c:pt>
                <c:pt idx="1">
                  <c:v>536.68797654967</c:v>
                </c:pt>
                <c:pt idx="2">
                  <c:v>856.49618886172004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90-46FA-9243-AA4638C551E3}"/>
            </c:ext>
          </c:extLst>
        </c:ser>
        <c:ser>
          <c:idx val="3"/>
          <c:order val="3"/>
          <c:tx>
            <c:strRef>
              <c:f>'N5-1 RH'!$A$29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'N5-1 RH'!$W$34:$W$36</c:f>
              <c:numCache>
                <c:formatCode>0.0000</c:formatCode>
                <c:ptCount val="3"/>
                <c:pt idx="0">
                  <c:v>4.6531495082692521E-4</c:v>
                </c:pt>
                <c:pt idx="1">
                  <c:v>4.6531495082692536E-3</c:v>
                </c:pt>
                <c:pt idx="2">
                  <c:v>4.6531495082692567E-2</c:v>
                </c:pt>
              </c:numCache>
            </c:numRef>
          </c:xVal>
          <c:yVal>
            <c:numRef>
              <c:f>'N5-1 RH'!$O$34:$O$36</c:f>
              <c:numCache>
                <c:formatCode>0.0</c:formatCode>
                <c:ptCount val="3"/>
                <c:pt idx="0">
                  <c:v>56.709755561909994</c:v>
                </c:pt>
                <c:pt idx="1">
                  <c:v>120.023562794542</c:v>
                </c:pt>
                <c:pt idx="2">
                  <c:v>265.32236873296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90-46FA-9243-AA4638C55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'N5-1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'N5-1 RH'!$W$28:$W$30</c:f>
              <c:numCache>
                <c:formatCode>0.0000</c:formatCode>
                <c:ptCount val="3"/>
                <c:pt idx="0">
                  <c:v>12.827975114063662</c:v>
                </c:pt>
                <c:pt idx="1">
                  <c:v>128.27975114063665</c:v>
                </c:pt>
                <c:pt idx="2">
                  <c:v>1282.7975114063668</c:v>
                </c:pt>
              </c:numCache>
            </c:numRef>
          </c:xVal>
          <c:yVal>
            <c:numRef>
              <c:f>'N5-1 RH'!$P$28:$P$30</c:f>
              <c:numCache>
                <c:formatCode>0.0</c:formatCode>
                <c:ptCount val="3"/>
                <c:pt idx="0">
                  <c:v>14.14</c:v>
                </c:pt>
                <c:pt idx="1">
                  <c:v>11.223333333333334</c:v>
                </c:pt>
                <c:pt idx="2">
                  <c:v>9.2066666666666652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4-4CAB-BFBE-CC2B2416F7D4}"/>
            </c:ext>
          </c:extLst>
        </c:ser>
        <c:ser>
          <c:idx val="2"/>
          <c:order val="1"/>
          <c:tx>
            <c:strRef>
              <c:f>'N5-1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'N5-1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'N5-1 RH'!$P$31:$P$33</c:f>
              <c:numCache>
                <c:formatCode>0.0</c:formatCode>
                <c:ptCount val="3"/>
                <c:pt idx="0">
                  <c:v>26.103333333333335</c:v>
                </c:pt>
                <c:pt idx="1">
                  <c:v>21.623333333333335</c:v>
                </c:pt>
                <c:pt idx="2">
                  <c:v>17.116666666666667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A4-4CAB-BFBE-CC2B2416F7D4}"/>
            </c:ext>
          </c:extLst>
        </c:ser>
        <c:ser>
          <c:idx val="3"/>
          <c:order val="2"/>
          <c:tx>
            <c:strRef>
              <c:f>'N5-1 RH'!$A$29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'N5-1 RH'!$W$34:$W$36</c:f>
              <c:numCache>
                <c:formatCode>0.0000</c:formatCode>
                <c:ptCount val="3"/>
                <c:pt idx="0">
                  <c:v>4.6531495082692521E-4</c:v>
                </c:pt>
                <c:pt idx="1">
                  <c:v>4.6531495082692536E-3</c:v>
                </c:pt>
                <c:pt idx="2">
                  <c:v>4.6531495082692567E-2</c:v>
                </c:pt>
              </c:numCache>
            </c:numRef>
          </c:xVal>
          <c:yVal>
            <c:numRef>
              <c:f>'N5-1 RH'!$P$34:$P$36</c:f>
              <c:numCache>
                <c:formatCode>0.0</c:formatCode>
                <c:ptCount val="3"/>
                <c:pt idx="0">
                  <c:v>28.853333333333335</c:v>
                </c:pt>
                <c:pt idx="1">
                  <c:v>30.05</c:v>
                </c:pt>
                <c:pt idx="2">
                  <c:v>26.840000000000003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A4-4CAB-BFBE-CC2B2416F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'N5-1 CA'!$M$48:$M$60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'N5-1 CA'!$O$48:$O$60</c:f>
              <c:numCache>
                <c:formatCode>#,##0.0</c:formatCode>
                <c:ptCount val="13"/>
                <c:pt idx="0">
                  <c:v>2468.226761824706</c:v>
                </c:pt>
                <c:pt idx="1">
                  <c:v>2284.9328515708225</c:v>
                </c:pt>
                <c:pt idx="2">
                  <c:v>2053.7021149599623</c:v>
                </c:pt>
                <c:pt idx="3">
                  <c:v>1774.6062830766389</c:v>
                </c:pt>
                <c:pt idx="4">
                  <c:v>1456.8895269232144</c:v>
                </c:pt>
                <c:pt idx="5">
                  <c:v>1121.5255521542508</c:v>
                </c:pt>
                <c:pt idx="6">
                  <c:v>799.34303237129711</c:v>
                </c:pt>
                <c:pt idx="7">
                  <c:v>522.62164423693184</c:v>
                </c:pt>
                <c:pt idx="8">
                  <c:v>312.9477317405773</c:v>
                </c:pt>
                <c:pt idx="9">
                  <c:v>173.37487729836812</c:v>
                </c:pt>
                <c:pt idx="10">
                  <c:v>91.004402207797739</c:v>
                </c:pt>
                <c:pt idx="11">
                  <c:v>46.872535456047935</c:v>
                </c:pt>
                <c:pt idx="12">
                  <c:v>24.639567022822838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82-4BB7-A5F8-56E06778A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'N5-1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'N5-1 CA'!$W$28:$W$30</c:f>
              <c:numCache>
                <c:formatCode>0.0000</c:formatCode>
                <c:ptCount val="3"/>
                <c:pt idx="0">
                  <c:v>22.781185294718828</c:v>
                </c:pt>
                <c:pt idx="1">
                  <c:v>227.81185294718824</c:v>
                </c:pt>
                <c:pt idx="2">
                  <c:v>2278.118529471883</c:v>
                </c:pt>
              </c:numCache>
            </c:numRef>
          </c:xVal>
          <c:yVal>
            <c:numRef>
              <c:f>'N5-1 CA'!$O$28:$O$30</c:f>
              <c:numCache>
                <c:formatCode>0.0</c:formatCode>
                <c:ptCount val="3"/>
                <c:pt idx="0">
                  <c:v>1251.7723708516401</c:v>
                </c:pt>
                <c:pt idx="1">
                  <c:v>1567.1327591980498</c:v>
                </c:pt>
                <c:pt idx="2">
                  <c:v>1906.2793365781001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82-4BB7-A5F8-56E06778AE7B}"/>
            </c:ext>
          </c:extLst>
        </c:ser>
        <c:ser>
          <c:idx val="2"/>
          <c:order val="2"/>
          <c:tx>
            <c:strRef>
              <c:f>'N5-1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'N5-1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'N5-1 CA'!$O$31:$O$33</c:f>
              <c:numCache>
                <c:formatCode>0.0</c:formatCode>
                <c:ptCount val="3"/>
                <c:pt idx="0">
                  <c:v>529.77451103786007</c:v>
                </c:pt>
                <c:pt idx="1">
                  <c:v>786.20123183954001</c:v>
                </c:pt>
                <c:pt idx="2">
                  <c:v>1100.0628968931801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82-4BB7-A5F8-56E06778AE7B}"/>
            </c:ext>
          </c:extLst>
        </c:ser>
        <c:ser>
          <c:idx val="3"/>
          <c:order val="3"/>
          <c:tx>
            <c:strRef>
              <c:f>'N5-1 CA'!$A$29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'N5-1 CA'!$W$34:$W$36</c:f>
              <c:numCache>
                <c:formatCode>0.0000</c:formatCode>
                <c:ptCount val="3"/>
                <c:pt idx="0">
                  <c:v>2.4649942947995319E-4</c:v>
                </c:pt>
                <c:pt idx="1">
                  <c:v>2.4649942947995323E-3</c:v>
                </c:pt>
                <c:pt idx="2">
                  <c:v>2.4649942947995329E-2</c:v>
                </c:pt>
              </c:numCache>
            </c:numRef>
          </c:xVal>
          <c:yVal>
            <c:numRef>
              <c:f>'N5-1 CA'!$O$34:$O$36</c:f>
              <c:numCache>
                <c:formatCode>0.0</c:formatCode>
                <c:ptCount val="3"/>
                <c:pt idx="0">
                  <c:v>117.35970300642499</c:v>
                </c:pt>
                <c:pt idx="1">
                  <c:v>220.40901586253003</c:v>
                </c:pt>
                <c:pt idx="2">
                  <c:v>392.37542722971995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82-4BB7-A5F8-56E06778A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'N5-1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'N5-1 CA'!$W$28:$W$30</c:f>
              <c:numCache>
                <c:formatCode>0.0000</c:formatCode>
                <c:ptCount val="3"/>
                <c:pt idx="0">
                  <c:v>22.781185294718828</c:v>
                </c:pt>
                <c:pt idx="1">
                  <c:v>227.81185294718824</c:v>
                </c:pt>
                <c:pt idx="2">
                  <c:v>2278.118529471883</c:v>
                </c:pt>
              </c:numCache>
            </c:numRef>
          </c:xVal>
          <c:yVal>
            <c:numRef>
              <c:f>'N5-1 CA'!$P$28:$P$30</c:f>
              <c:numCache>
                <c:formatCode>0.0</c:formatCode>
                <c:ptCount val="3"/>
                <c:pt idx="0">
                  <c:v>10.34</c:v>
                </c:pt>
                <c:pt idx="1">
                  <c:v>8.5633333333333344</c:v>
                </c:pt>
                <c:pt idx="2">
                  <c:v>7.376666666666666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4-484F-9F6B-ADDD30F27C84}"/>
            </c:ext>
          </c:extLst>
        </c:ser>
        <c:ser>
          <c:idx val="2"/>
          <c:order val="1"/>
          <c:tx>
            <c:strRef>
              <c:f>'N5-1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'N5-1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'N5-1 CA'!$P$31:$P$33</c:f>
              <c:numCache>
                <c:formatCode>0.0</c:formatCode>
                <c:ptCount val="3"/>
                <c:pt idx="0">
                  <c:v>18.61</c:v>
                </c:pt>
                <c:pt idx="1">
                  <c:v>15.226666666666667</c:v>
                </c:pt>
                <c:pt idx="2">
                  <c:v>12.666666666666666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D4-484F-9F6B-ADDD30F27C84}"/>
            </c:ext>
          </c:extLst>
        </c:ser>
        <c:ser>
          <c:idx val="3"/>
          <c:order val="2"/>
          <c:tx>
            <c:strRef>
              <c:f>'N5-1 CA'!$A$29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'N5-1 CA'!$W$34:$W$36</c:f>
              <c:numCache>
                <c:formatCode>0.0000</c:formatCode>
                <c:ptCount val="3"/>
                <c:pt idx="0">
                  <c:v>2.4649942947995319E-4</c:v>
                </c:pt>
                <c:pt idx="1">
                  <c:v>2.4649942947995323E-3</c:v>
                </c:pt>
                <c:pt idx="2">
                  <c:v>2.4649942947995329E-2</c:v>
                </c:pt>
              </c:numCache>
            </c:numRef>
          </c:xVal>
          <c:yVal>
            <c:numRef>
              <c:f>'N5-1 CA'!$P$34:$P$36</c:f>
              <c:numCache>
                <c:formatCode>0.0</c:formatCode>
                <c:ptCount val="3"/>
                <c:pt idx="0">
                  <c:v>28.573333333333334</c:v>
                </c:pt>
                <c:pt idx="1">
                  <c:v>25.849999999999998</c:v>
                </c:pt>
                <c:pt idx="2">
                  <c:v>22.356666666666666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D4-484F-9F6B-ADDD30F27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'N8-1 RH'!$M$48:$M$60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'N8-1 RH'!$O$48:$O$60</c:f>
              <c:numCache>
                <c:formatCode>#,##0.0</c:formatCode>
                <c:ptCount val="13"/>
                <c:pt idx="0">
                  <c:v>2934.6844340329867</c:v>
                </c:pt>
                <c:pt idx="1">
                  <c:v>2808.4780533969833</c:v>
                </c:pt>
                <c:pt idx="2">
                  <c:v>2631.112838285871</c:v>
                </c:pt>
                <c:pt idx="3">
                  <c:v>2390.8706695983719</c:v>
                </c:pt>
                <c:pt idx="4">
                  <c:v>2082.1086915640694</c:v>
                </c:pt>
                <c:pt idx="5">
                  <c:v>1713.0772816330227</c:v>
                </c:pt>
                <c:pt idx="6">
                  <c:v>1312.4701989902815</c:v>
                </c:pt>
                <c:pt idx="7">
                  <c:v>926.81588161193588</c:v>
                </c:pt>
                <c:pt idx="8">
                  <c:v>603.54306819328224</c:v>
                </c:pt>
                <c:pt idx="9">
                  <c:v>368.72200351893252</c:v>
                </c:pt>
                <c:pt idx="10">
                  <c:v>218.72868365045827</c:v>
                </c:pt>
                <c:pt idx="11">
                  <c:v>131.59062827879677</c:v>
                </c:pt>
                <c:pt idx="12">
                  <c:v>83.487574023165578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5F-449B-BF49-6E055BCEA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'N8-1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'N8-1 RH'!$W$28:$W$30</c:f>
              <c:numCache>
                <c:formatCode>0.0000</c:formatCode>
                <c:ptCount val="3"/>
                <c:pt idx="0">
                  <c:v>28.920789580660468</c:v>
                </c:pt>
                <c:pt idx="1">
                  <c:v>289.20789580660477</c:v>
                </c:pt>
                <c:pt idx="2">
                  <c:v>2892.078958066048</c:v>
                </c:pt>
              </c:numCache>
            </c:numRef>
          </c:xVal>
          <c:yVal>
            <c:numRef>
              <c:f>'N8-1 RH'!$O$28:$O$30</c:f>
              <c:numCache>
                <c:formatCode>0.0</c:formatCode>
                <c:ptCount val="3"/>
                <c:pt idx="0">
                  <c:v>1897.6737641228399</c:v>
                </c:pt>
                <c:pt idx="1">
                  <c:v>2251.7592285179198</c:v>
                </c:pt>
                <c:pt idx="2">
                  <c:v>2621.6538063560902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5F-449B-BF49-6E055BCEAE51}"/>
            </c:ext>
          </c:extLst>
        </c:ser>
        <c:ser>
          <c:idx val="2"/>
          <c:order val="2"/>
          <c:tx>
            <c:strRef>
              <c:f>'N8-1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'N8-1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'N8-1 RH'!$O$31:$O$33</c:f>
              <c:numCache>
                <c:formatCode>0.0</c:formatCode>
                <c:ptCount val="3"/>
                <c:pt idx="0">
                  <c:v>937.52393849663997</c:v>
                </c:pt>
                <c:pt idx="1">
                  <c:v>1276.5738240513501</c:v>
                </c:pt>
                <c:pt idx="2">
                  <c:v>1654.3487856547299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5F-449B-BF49-6E055BCEAE51}"/>
            </c:ext>
          </c:extLst>
        </c:ser>
        <c:ser>
          <c:idx val="3"/>
          <c:order val="3"/>
          <c:tx>
            <c:strRef>
              <c:f>'N8-1 RH'!$A$29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'N8-1 RH'!$W$34:$W$36</c:f>
              <c:numCache>
                <c:formatCode>0.0000</c:formatCode>
                <c:ptCount val="3"/>
                <c:pt idx="0">
                  <c:v>1.8930667491977966E-4</c:v>
                </c:pt>
                <c:pt idx="1">
                  <c:v>1.8930667491977987E-3</c:v>
                </c:pt>
                <c:pt idx="2">
                  <c:v>1.8930667491977991E-2</c:v>
                </c:pt>
              </c:numCache>
            </c:numRef>
          </c:xVal>
          <c:yVal>
            <c:numRef>
              <c:f>'N8-1 RH'!$O$34:$O$36</c:f>
              <c:numCache>
                <c:formatCode>0.0</c:formatCode>
                <c:ptCount val="3"/>
                <c:pt idx="0">
                  <c:v>250.4318276306</c:v>
                </c:pt>
                <c:pt idx="1">
                  <c:v>431.14884919105998</c:v>
                </c:pt>
                <c:pt idx="2">
                  <c:v>690.81474614163005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5F-449B-BF49-6E055BCEA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'N8-1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'N8-1 RH'!$W$28:$W$30</c:f>
              <c:numCache>
                <c:formatCode>0.0000</c:formatCode>
                <c:ptCount val="3"/>
                <c:pt idx="0">
                  <c:v>28.920789580660468</c:v>
                </c:pt>
                <c:pt idx="1">
                  <c:v>289.20789580660477</c:v>
                </c:pt>
                <c:pt idx="2">
                  <c:v>2892.078958066048</c:v>
                </c:pt>
              </c:numCache>
            </c:numRef>
          </c:xVal>
          <c:yVal>
            <c:numRef>
              <c:f>'N8-1 RH'!$P$28:$P$30</c:f>
              <c:numCache>
                <c:formatCode>0.0</c:formatCode>
                <c:ptCount val="3"/>
                <c:pt idx="0">
                  <c:v>7.8599999999999994</c:v>
                </c:pt>
                <c:pt idx="1">
                  <c:v>6.5666666666666673</c:v>
                </c:pt>
                <c:pt idx="2">
                  <c:v>5.7833333333333341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17-40A7-BDA2-F70869A018DA}"/>
            </c:ext>
          </c:extLst>
        </c:ser>
        <c:ser>
          <c:idx val="2"/>
          <c:order val="1"/>
          <c:tx>
            <c:strRef>
              <c:f>'N8-1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'N8-1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'N8-1 RH'!$P$31:$P$33</c:f>
              <c:numCache>
                <c:formatCode>0.0</c:formatCode>
                <c:ptCount val="3"/>
                <c:pt idx="0">
                  <c:v>14.583333333333334</c:v>
                </c:pt>
                <c:pt idx="1">
                  <c:v>11.773333333333333</c:v>
                </c:pt>
                <c:pt idx="2">
                  <c:v>9.7666666666666675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17-40A7-BDA2-F70869A018DA}"/>
            </c:ext>
          </c:extLst>
        </c:ser>
        <c:ser>
          <c:idx val="3"/>
          <c:order val="2"/>
          <c:tx>
            <c:strRef>
              <c:f>'N8-1 RH'!$A$29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'N8-1 RH'!$W$34:$W$36</c:f>
              <c:numCache>
                <c:formatCode>0.0000</c:formatCode>
                <c:ptCount val="3"/>
                <c:pt idx="0">
                  <c:v>1.8930667491977966E-4</c:v>
                </c:pt>
                <c:pt idx="1">
                  <c:v>1.8930667491977987E-3</c:v>
                </c:pt>
                <c:pt idx="2">
                  <c:v>1.8930667491977991E-2</c:v>
                </c:pt>
              </c:numCache>
            </c:numRef>
          </c:xVal>
          <c:yVal>
            <c:numRef>
              <c:f>'N8-1 RH'!$P$34:$P$36</c:f>
              <c:numCache>
                <c:formatCode>0.0</c:formatCode>
                <c:ptCount val="3"/>
                <c:pt idx="0">
                  <c:v>25.126666666666665</c:v>
                </c:pt>
                <c:pt idx="1">
                  <c:v>22</c:v>
                </c:pt>
                <c:pt idx="2">
                  <c:v>18.426666666666666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17-40A7-BDA2-F70869A01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'N8-1 CA'!$M$48:$M$60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'N8-1 CA'!$O$48:$O$60</c:f>
              <c:numCache>
                <c:formatCode>#,##0.0</c:formatCode>
                <c:ptCount val="13"/>
                <c:pt idx="0">
                  <c:v>2801.5167203153505</c:v>
                </c:pt>
                <c:pt idx="1">
                  <c:v>2654.3225940230623</c:v>
                </c:pt>
                <c:pt idx="2">
                  <c:v>2462.3421044276452</c:v>
                </c:pt>
                <c:pt idx="3">
                  <c:v>2220.0384048175315</c:v>
                </c:pt>
                <c:pt idx="4">
                  <c:v>1927.4320978891908</c:v>
                </c:pt>
                <c:pt idx="5">
                  <c:v>1594.0374418044867</c:v>
                </c:pt>
                <c:pt idx="6">
                  <c:v>1241.3936698106615</c:v>
                </c:pt>
                <c:pt idx="7">
                  <c:v>901.01731060324323</c:v>
                </c:pt>
                <c:pt idx="8">
                  <c:v>605.84605306156038</c:v>
                </c:pt>
                <c:pt idx="9">
                  <c:v>378.19460079374346</c:v>
                </c:pt>
                <c:pt idx="10">
                  <c:v>222.12397896318356</c:v>
                </c:pt>
                <c:pt idx="11">
                  <c:v>125.85235364576089</c:v>
                </c:pt>
                <c:pt idx="12">
                  <c:v>71.086806881660252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2F-476F-814B-ABDCE4CEB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'N8-1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'N8-1 CA'!$W$28:$W$30</c:f>
              <c:numCache>
                <c:formatCode>0.0000</c:formatCode>
                <c:ptCount val="3"/>
                <c:pt idx="0">
                  <c:v>34.269516033660786</c:v>
                </c:pt>
                <c:pt idx="1">
                  <c:v>342.6951603366079</c:v>
                </c:pt>
                <c:pt idx="2">
                  <c:v>3426.951603366083</c:v>
                </c:pt>
              </c:numCache>
            </c:numRef>
          </c:xVal>
          <c:yVal>
            <c:numRef>
              <c:f>'N8-1 CA'!$O$28:$O$30</c:f>
              <c:numCache>
                <c:formatCode>0.0</c:formatCode>
                <c:ptCount val="3"/>
                <c:pt idx="0">
                  <c:v>1761.9184413454802</c:v>
                </c:pt>
                <c:pt idx="1">
                  <c:v>2089.70372924808</c:v>
                </c:pt>
                <c:pt idx="2">
                  <c:v>2427.1581996846799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2F-476F-814B-ABDCE4CEB2B5}"/>
            </c:ext>
          </c:extLst>
        </c:ser>
        <c:ser>
          <c:idx val="2"/>
          <c:order val="2"/>
          <c:tx>
            <c:strRef>
              <c:f>'N8-1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'N8-1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'N8-1 CA'!$O$31:$O$33</c:f>
              <c:numCache>
                <c:formatCode>0.0</c:formatCode>
                <c:ptCount val="3"/>
                <c:pt idx="0">
                  <c:v>913.49601989965004</c:v>
                </c:pt>
                <c:pt idx="1">
                  <c:v>1222.5230936862899</c:v>
                </c:pt>
                <c:pt idx="2">
                  <c:v>1568.7765202288301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2F-476F-814B-ABDCE4CEB2B5}"/>
            </c:ext>
          </c:extLst>
        </c:ser>
        <c:ser>
          <c:idx val="3"/>
          <c:order val="3"/>
          <c:tx>
            <c:strRef>
              <c:f>'N8-1 CA'!$A$30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'N8-1 CA'!$W$34:$W$37</c:f>
              <c:numCache>
                <c:formatCode>0.0000</c:formatCode>
                <c:ptCount val="4"/>
                <c:pt idx="0">
                  <c:v>1.5690403210115301E-5</c:v>
                </c:pt>
                <c:pt idx="1">
                  <c:v>1.569040321011532E-4</c:v>
                </c:pt>
                <c:pt idx="2">
                  <c:v>1.5690403210115323E-3</c:v>
                </c:pt>
                <c:pt idx="3">
                  <c:v>1.5690403210115327E-2</c:v>
                </c:pt>
              </c:numCache>
            </c:numRef>
          </c:xVal>
          <c:yVal>
            <c:numRef>
              <c:f>'N8-1 CA'!$O$34:$O$37</c:f>
              <c:numCache>
                <c:formatCode>0.0</c:formatCode>
                <c:ptCount val="4"/>
                <c:pt idx="0">
                  <c:v>140.696275052234</c:v>
                </c:pt>
                <c:pt idx="1">
                  <c:v>247.86949425908998</c:v>
                </c:pt>
                <c:pt idx="2">
                  <c:v>415.43642757331003</c:v>
                </c:pt>
                <c:pt idx="3">
                  <c:v>663.69268913375993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2F-476F-814B-ABDCE4CEB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'N8-1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'N8-1 CA'!$W$28:$W$30</c:f>
              <c:numCache>
                <c:formatCode>0.0000</c:formatCode>
                <c:ptCount val="3"/>
                <c:pt idx="0">
                  <c:v>34.269516033660786</c:v>
                </c:pt>
                <c:pt idx="1">
                  <c:v>342.6951603366079</c:v>
                </c:pt>
                <c:pt idx="2">
                  <c:v>3426.951603366083</c:v>
                </c:pt>
              </c:numCache>
            </c:numRef>
          </c:xVal>
          <c:yVal>
            <c:numRef>
              <c:f>'N8-1 CA'!$P$28:$P$30</c:f>
              <c:numCache>
                <c:formatCode>0.0</c:formatCode>
                <c:ptCount val="3"/>
                <c:pt idx="0">
                  <c:v>7.6933333333333342</c:v>
                </c:pt>
                <c:pt idx="1">
                  <c:v>6.5333333333333341</c:v>
                </c:pt>
                <c:pt idx="2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F-44D4-897C-7B13D1E554F3}"/>
            </c:ext>
          </c:extLst>
        </c:ser>
        <c:ser>
          <c:idx val="2"/>
          <c:order val="1"/>
          <c:tx>
            <c:strRef>
              <c:f>'N8-1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'N8-1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'N8-1 CA'!$P$31:$P$33</c:f>
              <c:numCache>
                <c:formatCode>0.0</c:formatCode>
                <c:ptCount val="3"/>
                <c:pt idx="0">
                  <c:v>13.816666666666668</c:v>
                </c:pt>
                <c:pt idx="1">
                  <c:v>11.25</c:v>
                </c:pt>
                <c:pt idx="2">
                  <c:v>9.18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5F-44D4-897C-7B13D1E554F3}"/>
            </c:ext>
          </c:extLst>
        </c:ser>
        <c:ser>
          <c:idx val="3"/>
          <c:order val="2"/>
          <c:tx>
            <c:strRef>
              <c:f>'N8-1 CA'!$A$30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'N8-1 CA'!$W$34:$W$37</c:f>
              <c:numCache>
                <c:formatCode>0.0000</c:formatCode>
                <c:ptCount val="4"/>
                <c:pt idx="0">
                  <c:v>1.5690403210115301E-5</c:v>
                </c:pt>
                <c:pt idx="1">
                  <c:v>1.569040321011532E-4</c:v>
                </c:pt>
                <c:pt idx="2">
                  <c:v>1.5690403210115323E-3</c:v>
                </c:pt>
                <c:pt idx="3">
                  <c:v>1.5690403210115327E-2</c:v>
                </c:pt>
              </c:numCache>
            </c:numRef>
          </c:xVal>
          <c:yVal>
            <c:numRef>
              <c:f>'N8-1 CA'!$P$34:$P$37</c:f>
              <c:numCache>
                <c:formatCode>0.0</c:formatCode>
                <c:ptCount val="4"/>
                <c:pt idx="0">
                  <c:v>27.78</c:v>
                </c:pt>
                <c:pt idx="1">
                  <c:v>25.046666666666667</c:v>
                </c:pt>
                <c:pt idx="2">
                  <c:v>21.393333333333331</c:v>
                </c:pt>
                <c:pt idx="3">
                  <c:v>17.523333333333333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5F-44D4-897C-7B13D1E55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'S5-1 RH'!$M$48:$M$60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'S5-1 RH'!$O$48:$O$60</c:f>
              <c:numCache>
                <c:formatCode>#,##0.0</c:formatCode>
                <c:ptCount val="13"/>
                <c:pt idx="0">
                  <c:v>2538.339387229621</c:v>
                </c:pt>
                <c:pt idx="1">
                  <c:v>2274.6298078316145</c:v>
                </c:pt>
                <c:pt idx="2">
                  <c:v>1932.9027860722247</c:v>
                </c:pt>
                <c:pt idx="3">
                  <c:v>1526.3871409732728</c:v>
                </c:pt>
                <c:pt idx="4">
                  <c:v>1095.9170252355675</c:v>
                </c:pt>
                <c:pt idx="5">
                  <c:v>703.06025426481199</c:v>
                </c:pt>
                <c:pt idx="6">
                  <c:v>401.8586243368656</c:v>
                </c:pt>
                <c:pt idx="7">
                  <c:v>209.21816446709977</c:v>
                </c:pt>
                <c:pt idx="8">
                  <c:v>104.22599144138508</c:v>
                </c:pt>
                <c:pt idx="9">
                  <c:v>52.980675957061088</c:v>
                </c:pt>
                <c:pt idx="10">
                  <c:v>29.099549948981938</c:v>
                </c:pt>
                <c:pt idx="11">
                  <c:v>17.847617838923945</c:v>
                </c:pt>
                <c:pt idx="12">
                  <c:v>12.29316838740854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62-4E51-96BB-D318EBD8C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'S5-1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'S5-1 RH'!$W$28:$W$30</c:f>
              <c:numCache>
                <c:formatCode>0.0000</c:formatCode>
                <c:ptCount val="3"/>
                <c:pt idx="0">
                  <c:v>10.174521189530461</c:v>
                </c:pt>
                <c:pt idx="1">
                  <c:v>101.74521189530462</c:v>
                </c:pt>
                <c:pt idx="2">
                  <c:v>1017.4521189530465</c:v>
                </c:pt>
              </c:numCache>
            </c:numRef>
          </c:xVal>
          <c:yVal>
            <c:numRef>
              <c:f>'S5-1 RH'!$O$28:$O$30</c:f>
              <c:numCache>
                <c:formatCode>0.0</c:formatCode>
                <c:ptCount val="3"/>
                <c:pt idx="0">
                  <c:v>782.2368670006</c:v>
                </c:pt>
                <c:pt idx="1">
                  <c:v>1115.3402052969002</c:v>
                </c:pt>
                <c:pt idx="2">
                  <c:v>1517.28812323528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62-4E51-96BB-D318EBD8CAB6}"/>
            </c:ext>
          </c:extLst>
        </c:ser>
        <c:ser>
          <c:idx val="2"/>
          <c:order val="2"/>
          <c:tx>
            <c:strRef>
              <c:f>'S5-1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'S5-1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'S5-1 RH'!$O$31:$O$33</c:f>
              <c:numCache>
                <c:formatCode>0.0</c:formatCode>
                <c:ptCount val="3"/>
                <c:pt idx="0">
                  <c:v>201.98922313526</c:v>
                </c:pt>
                <c:pt idx="1">
                  <c:v>375.30932005721002</c:v>
                </c:pt>
                <c:pt idx="2">
                  <c:v>649.86575811014006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62-4E51-96BB-D318EBD8CAB6}"/>
            </c:ext>
          </c:extLst>
        </c:ser>
        <c:ser>
          <c:idx val="3"/>
          <c:order val="3"/>
          <c:tx>
            <c:strRef>
              <c:f>'S5-1 RH'!$A$30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'S5-1 RH'!$W$34:$W$37</c:f>
              <c:numCache>
                <c:formatCode>0.0000</c:formatCode>
                <c:ptCount val="4"/>
                <c:pt idx="0">
                  <c:v>6.0129763399385569E-5</c:v>
                </c:pt>
                <c:pt idx="1">
                  <c:v>6.0129763399385469E-4</c:v>
                </c:pt>
                <c:pt idx="2">
                  <c:v>6.0129763399385484E-3</c:v>
                </c:pt>
                <c:pt idx="3">
                  <c:v>6.012976339938552E-2</c:v>
                </c:pt>
              </c:numCache>
            </c:numRef>
          </c:xVal>
          <c:yVal>
            <c:numRef>
              <c:f>'S5-1 RH'!$O$34:$O$37</c:f>
              <c:numCache>
                <c:formatCode>0.0</c:formatCode>
                <c:ptCount val="4"/>
                <c:pt idx="0">
                  <c:v>26.140634980669002</c:v>
                </c:pt>
                <c:pt idx="1">
                  <c:v>44.971367965633995</c:v>
                </c:pt>
                <c:pt idx="2">
                  <c:v>88.656734654246009</c:v>
                </c:pt>
                <c:pt idx="3">
                  <c:v>197.58974508229002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62-4E51-96BB-D318EBD8C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'S5-1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'S5-1 RH'!$W$28:$W$30</c:f>
              <c:numCache>
                <c:formatCode>0.0000</c:formatCode>
                <c:ptCount val="3"/>
                <c:pt idx="0">
                  <c:v>10.174521189530461</c:v>
                </c:pt>
                <c:pt idx="1">
                  <c:v>101.74521189530462</c:v>
                </c:pt>
                <c:pt idx="2">
                  <c:v>1017.4521189530465</c:v>
                </c:pt>
              </c:numCache>
            </c:numRef>
          </c:xVal>
          <c:yVal>
            <c:numRef>
              <c:f>'S5-1 RH'!$P$28:$P$30</c:f>
              <c:numCache>
                <c:formatCode>0.0</c:formatCode>
                <c:ptCount val="3"/>
                <c:pt idx="0">
                  <c:v>17.166666666666668</c:v>
                </c:pt>
                <c:pt idx="1">
                  <c:v>14.083333333333334</c:v>
                </c:pt>
                <c:pt idx="2">
                  <c:v>11.586666666666668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8-4792-9978-529BE8230CC0}"/>
            </c:ext>
          </c:extLst>
        </c:ser>
        <c:ser>
          <c:idx val="2"/>
          <c:order val="1"/>
          <c:tx>
            <c:strRef>
              <c:f>'S5-1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'S5-1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'S5-1 RH'!$P$31:$P$33</c:f>
              <c:numCache>
                <c:formatCode>0.0</c:formatCode>
                <c:ptCount val="3"/>
                <c:pt idx="0">
                  <c:v>29.51</c:v>
                </c:pt>
                <c:pt idx="1">
                  <c:v>25.73</c:v>
                </c:pt>
                <c:pt idx="2">
                  <c:v>21.103333333333335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B8-4792-9978-529BE8230CC0}"/>
            </c:ext>
          </c:extLst>
        </c:ser>
        <c:ser>
          <c:idx val="3"/>
          <c:order val="2"/>
          <c:tx>
            <c:strRef>
              <c:f>'S5-1 RH'!$A$30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'S5-1 RH'!$W$34:$W$37</c:f>
              <c:numCache>
                <c:formatCode>0.0000</c:formatCode>
                <c:ptCount val="4"/>
                <c:pt idx="0">
                  <c:v>6.0129763399385569E-5</c:v>
                </c:pt>
                <c:pt idx="1">
                  <c:v>6.0129763399385469E-4</c:v>
                </c:pt>
                <c:pt idx="2">
                  <c:v>6.0129763399385484E-3</c:v>
                </c:pt>
                <c:pt idx="3">
                  <c:v>6.012976339938552E-2</c:v>
                </c:pt>
              </c:numCache>
            </c:numRef>
          </c:xVal>
          <c:yVal>
            <c:numRef>
              <c:f>'S5-1 RH'!$P$34:$P$37</c:f>
              <c:numCache>
                <c:formatCode>0.0</c:formatCode>
                <c:ptCount val="4"/>
                <c:pt idx="0">
                  <c:v>21.27</c:v>
                </c:pt>
                <c:pt idx="1">
                  <c:v>26.430000000000003</c:v>
                </c:pt>
                <c:pt idx="2">
                  <c:v>29.026666666666667</c:v>
                </c:pt>
                <c:pt idx="3">
                  <c:v>28.146666666666665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B8-4792-9978-529BE8230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'S5-1 CA'!$M$48:$M$60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'S5-1 CA'!$O$48:$O$60</c:f>
              <c:numCache>
                <c:formatCode>#,##0.0</c:formatCode>
                <c:ptCount val="13"/>
                <c:pt idx="0">
                  <c:v>2552.6818565647018</c:v>
                </c:pt>
                <c:pt idx="1">
                  <c:v>2316.2795188391401</c:v>
                </c:pt>
                <c:pt idx="2">
                  <c:v>2017.9789906983101</c:v>
                </c:pt>
                <c:pt idx="3">
                  <c:v>1664.6535355082074</c:v>
                </c:pt>
                <c:pt idx="4">
                  <c:v>1279.9240787162259</c:v>
                </c:pt>
                <c:pt idx="5">
                  <c:v>903.60584659267101</c:v>
                </c:pt>
                <c:pt idx="6">
                  <c:v>580.09999116902509</c:v>
                </c:pt>
                <c:pt idx="7">
                  <c:v>339.2778996660503</c:v>
                </c:pt>
                <c:pt idx="8">
                  <c:v>184.1860714211312</c:v>
                </c:pt>
                <c:pt idx="9">
                  <c:v>96.215573178555189</c:v>
                </c:pt>
                <c:pt idx="10">
                  <c:v>50.653818352404564</c:v>
                </c:pt>
                <c:pt idx="11">
                  <c:v>28.087776583389694</c:v>
                </c:pt>
                <c:pt idx="12">
                  <c:v>16.916562404213856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77-4B1E-ABF1-A88BE404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'S5-1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'S5-1 CA'!$W$28:$W$30</c:f>
              <c:numCache>
                <c:formatCode>0.0000</c:formatCode>
                <c:ptCount val="3"/>
                <c:pt idx="0">
                  <c:v>13.76570407276769</c:v>
                </c:pt>
                <c:pt idx="1">
                  <c:v>137.65704072767693</c:v>
                </c:pt>
                <c:pt idx="2">
                  <c:v>1376.5704072767696</c:v>
                </c:pt>
              </c:numCache>
            </c:numRef>
          </c:xVal>
          <c:yVal>
            <c:numRef>
              <c:f>'S5-1 CA'!$O$28:$O$30</c:f>
              <c:numCache>
                <c:formatCode>0.0</c:formatCode>
                <c:ptCount val="3"/>
                <c:pt idx="0">
                  <c:v>1010.6229584536801</c:v>
                </c:pt>
                <c:pt idx="1">
                  <c:v>1341.0672715531298</c:v>
                </c:pt>
                <c:pt idx="2">
                  <c:v>1730.25186854663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77-4B1E-ABF1-A88BE404D44C}"/>
            </c:ext>
          </c:extLst>
        </c:ser>
        <c:ser>
          <c:idx val="2"/>
          <c:order val="2"/>
          <c:tx>
            <c:strRef>
              <c:f>'S5-1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'S5-1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'S5-1 CA'!$O$31:$O$33</c:f>
              <c:numCache>
                <c:formatCode>0.0</c:formatCode>
                <c:ptCount val="3"/>
                <c:pt idx="0">
                  <c:v>336.58424400854</c:v>
                </c:pt>
                <c:pt idx="1">
                  <c:v>552.98054911946008</c:v>
                </c:pt>
                <c:pt idx="2">
                  <c:v>857.41476120244999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77-4B1E-ABF1-A88BE404D44C}"/>
            </c:ext>
          </c:extLst>
        </c:ser>
        <c:ser>
          <c:idx val="3"/>
          <c:order val="3"/>
          <c:tx>
            <c:strRef>
              <c:f>'S5-1 CA'!$A$30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'S5-1 CA'!$W$34:$W$37</c:f>
              <c:numCache>
                <c:formatCode>0.0000</c:formatCode>
                <c:ptCount val="4"/>
                <c:pt idx="0">
                  <c:v>4.3037759487812764E-5</c:v>
                </c:pt>
                <c:pt idx="1">
                  <c:v>4.3037759487812741E-4</c:v>
                </c:pt>
                <c:pt idx="2">
                  <c:v>4.3037759487812742E-3</c:v>
                </c:pt>
                <c:pt idx="3">
                  <c:v>4.3037759487812736E-2</c:v>
                </c:pt>
              </c:numCache>
            </c:numRef>
          </c:xVal>
          <c:yVal>
            <c:numRef>
              <c:f>'S5-1 CA'!$O$34:$O$37</c:f>
              <c:numCache>
                <c:formatCode>0.0</c:formatCode>
                <c:ptCount val="4"/>
                <c:pt idx="0">
                  <c:v>40.639574190401994</c:v>
                </c:pt>
                <c:pt idx="1">
                  <c:v>75.134382880446992</c:v>
                </c:pt>
                <c:pt idx="2">
                  <c:v>144.061150574066</c:v>
                </c:pt>
                <c:pt idx="3">
                  <c:v>289.30194141727998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77-4B1E-ABF1-A88BE404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'S5-1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'S5-1 CA'!$W$28:$W$30</c:f>
              <c:numCache>
                <c:formatCode>0.0000</c:formatCode>
                <c:ptCount val="3"/>
                <c:pt idx="0">
                  <c:v>13.76570407276769</c:v>
                </c:pt>
                <c:pt idx="1">
                  <c:v>137.65704072767693</c:v>
                </c:pt>
                <c:pt idx="2">
                  <c:v>1376.5704072767696</c:v>
                </c:pt>
              </c:numCache>
            </c:numRef>
          </c:xVal>
          <c:yVal>
            <c:numRef>
              <c:f>'S5-1 CA'!$P$28:$P$30</c:f>
              <c:numCache>
                <c:formatCode>0.0</c:formatCode>
                <c:ptCount val="3"/>
                <c:pt idx="0">
                  <c:v>13.463333333333333</c:v>
                </c:pt>
                <c:pt idx="1">
                  <c:v>11.416666666666666</c:v>
                </c:pt>
                <c:pt idx="2">
                  <c:v>9.7999999999999989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CA-4236-B74A-A9FD67CAEB3A}"/>
            </c:ext>
          </c:extLst>
        </c:ser>
        <c:ser>
          <c:idx val="2"/>
          <c:order val="1"/>
          <c:tx>
            <c:strRef>
              <c:f>'S5-1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'S5-1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'S5-1 CA'!$P$31:$P$33</c:f>
              <c:numCache>
                <c:formatCode>0.0</c:formatCode>
                <c:ptCount val="3"/>
                <c:pt idx="0">
                  <c:v>23.56</c:v>
                </c:pt>
                <c:pt idx="1">
                  <c:v>20.093333333333334</c:v>
                </c:pt>
                <c:pt idx="2">
                  <c:v>16.686666666666667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CA-4236-B74A-A9FD67CAEB3A}"/>
            </c:ext>
          </c:extLst>
        </c:ser>
        <c:ser>
          <c:idx val="3"/>
          <c:order val="2"/>
          <c:tx>
            <c:strRef>
              <c:f>'S5-1 CA'!$A$30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'S5-1 CA'!$W$34:$W$37</c:f>
              <c:numCache>
                <c:formatCode>0.0000</c:formatCode>
                <c:ptCount val="4"/>
                <c:pt idx="0">
                  <c:v>4.3037759487812764E-5</c:v>
                </c:pt>
                <c:pt idx="1">
                  <c:v>4.3037759487812741E-4</c:v>
                </c:pt>
                <c:pt idx="2">
                  <c:v>4.3037759487812742E-3</c:v>
                </c:pt>
                <c:pt idx="3">
                  <c:v>4.3037759487812736E-2</c:v>
                </c:pt>
              </c:numCache>
            </c:numRef>
          </c:xVal>
          <c:yVal>
            <c:numRef>
              <c:f>'S5-1 CA'!$P$34:$P$37</c:f>
              <c:numCache>
                <c:formatCode>0.0</c:formatCode>
                <c:ptCount val="4"/>
                <c:pt idx="0">
                  <c:v>27.023333333333337</c:v>
                </c:pt>
                <c:pt idx="1">
                  <c:v>28.466666666666669</c:v>
                </c:pt>
                <c:pt idx="2">
                  <c:v>28.39</c:v>
                </c:pt>
                <c:pt idx="3">
                  <c:v>25.916666666666668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CA-4236-B74A-A9FD67CAE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'S6-1 RH'!$M$48:$M$60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'S6-1 RH'!$O$48:$O$60</c:f>
              <c:numCache>
                <c:formatCode>#,##0.0</c:formatCode>
                <c:ptCount val="13"/>
                <c:pt idx="0">
                  <c:v>2534.4930250190905</c:v>
                </c:pt>
                <c:pt idx="1">
                  <c:v>2263.398141169157</c:v>
                </c:pt>
                <c:pt idx="2">
                  <c:v>1913.2701486711535</c:v>
                </c:pt>
                <c:pt idx="3">
                  <c:v>1500.6712811061395</c:v>
                </c:pt>
                <c:pt idx="4">
                  <c:v>1070.7730113525381</c:v>
                </c:pt>
                <c:pt idx="5">
                  <c:v>686.6987872180863</c:v>
                </c:pt>
                <c:pt idx="6">
                  <c:v>398.30281237245771</c:v>
                </c:pt>
                <c:pt idx="7">
                  <c:v>215.84131177365214</c:v>
                </c:pt>
                <c:pt idx="8">
                  <c:v>115.44355110624268</c:v>
                </c:pt>
                <c:pt idx="9">
                  <c:v>64.687353785381944</c:v>
                </c:pt>
                <c:pt idx="10">
                  <c:v>39.657634502862969</c:v>
                </c:pt>
                <c:pt idx="11">
                  <c:v>27.055770133306179</c:v>
                </c:pt>
                <c:pt idx="12">
                  <c:v>20.426401193583754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B9-4EEB-BFDE-7EE85AEB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'S6-1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'S6-1 RH'!$W$28:$W$30</c:f>
              <c:numCache>
                <c:formatCode>0.0000</c:formatCode>
                <c:ptCount val="3"/>
                <c:pt idx="0">
                  <c:v>7.1170651489641639</c:v>
                </c:pt>
                <c:pt idx="1">
                  <c:v>71.170651489641642</c:v>
                </c:pt>
                <c:pt idx="2">
                  <c:v>711.70651489641659</c:v>
                </c:pt>
              </c:numCache>
            </c:numRef>
          </c:xVal>
          <c:yVal>
            <c:numRef>
              <c:f>'S6-1 RH'!$O$28:$O$30</c:f>
              <c:numCache>
                <c:formatCode>0.0</c:formatCode>
                <c:ptCount val="3"/>
                <c:pt idx="0">
                  <c:v>745.92908658543001</c:v>
                </c:pt>
                <c:pt idx="1">
                  <c:v>1055.4396194987701</c:v>
                </c:pt>
                <c:pt idx="2">
                  <c:v>1440.9015812166799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B9-4EEB-BFDE-7EE85AEBB3D2}"/>
            </c:ext>
          </c:extLst>
        </c:ser>
        <c:ser>
          <c:idx val="2"/>
          <c:order val="2"/>
          <c:tx>
            <c:strRef>
              <c:f>'S6-1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'S6-1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'S6-1 RH'!$O$31:$O$33</c:f>
              <c:numCache>
                <c:formatCode>0.0</c:formatCode>
                <c:ptCount val="3"/>
                <c:pt idx="0">
                  <c:v>198.99177654972002</c:v>
                </c:pt>
                <c:pt idx="1">
                  <c:v>351.37809328556</c:v>
                </c:pt>
                <c:pt idx="2">
                  <c:v>602.05165047951004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B9-4EEB-BFDE-7EE85AEBB3D2}"/>
            </c:ext>
          </c:extLst>
        </c:ser>
        <c:ser>
          <c:idx val="3"/>
          <c:order val="3"/>
          <c:tx>
            <c:strRef>
              <c:f>'S6-1 RH'!$A$30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'S6-1 RH'!$W$34:$W$37</c:f>
              <c:numCache>
                <c:formatCode>0.0000</c:formatCode>
                <c:ptCount val="4"/>
                <c:pt idx="0">
                  <c:v>8.9289729912646633E-5</c:v>
                </c:pt>
                <c:pt idx="1">
                  <c:v>8.9289729912646733E-4</c:v>
                </c:pt>
                <c:pt idx="2">
                  <c:v>8.9289729912646748E-3</c:v>
                </c:pt>
                <c:pt idx="3">
                  <c:v>8.9289729912646776E-2</c:v>
                </c:pt>
              </c:numCache>
            </c:numRef>
          </c:xVal>
          <c:yVal>
            <c:numRef>
              <c:f>'S6-1 RH'!$O$34:$O$37</c:f>
              <c:numCache>
                <c:formatCode>0.0</c:formatCode>
                <c:ptCount val="4"/>
                <c:pt idx="0">
                  <c:v>38.478511894053007</c:v>
                </c:pt>
                <c:pt idx="1">
                  <c:v>62.665972002853998</c:v>
                </c:pt>
                <c:pt idx="2">
                  <c:v>114.67167026197301</c:v>
                </c:pt>
                <c:pt idx="3">
                  <c:v>238.92550041513996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B9-4EEB-BFDE-7EE85AEB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'S6-1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'S6-1 RH'!$W$28:$W$30</c:f>
              <c:numCache>
                <c:formatCode>0.0000</c:formatCode>
                <c:ptCount val="3"/>
                <c:pt idx="0">
                  <c:v>7.1170651489641639</c:v>
                </c:pt>
                <c:pt idx="1">
                  <c:v>71.170651489641642</c:v>
                </c:pt>
                <c:pt idx="2">
                  <c:v>711.70651489641659</c:v>
                </c:pt>
              </c:numCache>
            </c:numRef>
          </c:xVal>
          <c:yVal>
            <c:numRef>
              <c:f>'S6-1 RH'!$P$28:$P$30</c:f>
              <c:numCache>
                <c:formatCode>0.0</c:formatCode>
                <c:ptCount val="3"/>
                <c:pt idx="0">
                  <c:v>16.403333333333332</c:v>
                </c:pt>
                <c:pt idx="1">
                  <c:v>13.973333333333334</c:v>
                </c:pt>
                <c:pt idx="2">
                  <c:v>11.76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E3-4112-B1DA-646885ADB1B0}"/>
            </c:ext>
          </c:extLst>
        </c:ser>
        <c:ser>
          <c:idx val="2"/>
          <c:order val="1"/>
          <c:tx>
            <c:strRef>
              <c:f>'S6-1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'S6-1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'S6-1 RH'!$P$31:$P$33</c:f>
              <c:numCache>
                <c:formatCode>0.0</c:formatCode>
                <c:ptCount val="3"/>
                <c:pt idx="0">
                  <c:v>27.23</c:v>
                </c:pt>
                <c:pt idx="1">
                  <c:v>25.053333333333331</c:v>
                </c:pt>
                <c:pt idx="2">
                  <c:v>21.349999999999998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E3-4112-B1DA-646885ADB1B0}"/>
            </c:ext>
          </c:extLst>
        </c:ser>
        <c:ser>
          <c:idx val="3"/>
          <c:order val="2"/>
          <c:tx>
            <c:strRef>
              <c:f>'S6-1 RH'!$A$30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'S6-1 RH'!$W$34:$W$37</c:f>
              <c:numCache>
                <c:formatCode>0.0000</c:formatCode>
                <c:ptCount val="4"/>
                <c:pt idx="0">
                  <c:v>8.9289729912646633E-5</c:v>
                </c:pt>
                <c:pt idx="1">
                  <c:v>8.9289729912646733E-4</c:v>
                </c:pt>
                <c:pt idx="2">
                  <c:v>8.9289729912646748E-3</c:v>
                </c:pt>
                <c:pt idx="3">
                  <c:v>8.9289729912646776E-2</c:v>
                </c:pt>
              </c:numCache>
            </c:numRef>
          </c:xVal>
          <c:yVal>
            <c:numRef>
              <c:f>'S6-1 RH'!$P$34:$P$37</c:f>
              <c:numCache>
                <c:formatCode>0.0</c:formatCode>
                <c:ptCount val="4"/>
                <c:pt idx="0">
                  <c:v>24.49</c:v>
                </c:pt>
                <c:pt idx="1">
                  <c:v>28.040000000000003</c:v>
                </c:pt>
                <c:pt idx="2">
                  <c:v>29.44</c:v>
                </c:pt>
                <c:pt idx="3">
                  <c:v>27.88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E3-4112-B1DA-646885ADB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'S6-1 CA'!$M$48:$M$60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'S6-1 CA'!$O$48:$O$60</c:f>
              <c:numCache>
                <c:formatCode>#,##0.0</c:formatCode>
                <c:ptCount val="13"/>
                <c:pt idx="0">
                  <c:v>2350.8526161225609</c:v>
                </c:pt>
                <c:pt idx="1">
                  <c:v>2092.9739448746031</c:v>
                </c:pt>
                <c:pt idx="2">
                  <c:v>1786.5381372298484</c:v>
                </c:pt>
                <c:pt idx="3">
                  <c:v>1445.0414503433492</c:v>
                </c:pt>
                <c:pt idx="4">
                  <c:v>1094.2576588589116</c:v>
                </c:pt>
                <c:pt idx="5">
                  <c:v>767.97181700870374</c:v>
                </c:pt>
                <c:pt idx="6">
                  <c:v>497.25987941046753</c:v>
                </c:pt>
                <c:pt idx="7">
                  <c:v>298.5607176077005</c:v>
                </c:pt>
                <c:pt idx="8">
                  <c:v>169.15227010156397</c:v>
                </c:pt>
                <c:pt idx="9">
                  <c:v>93.109477946714904</c:v>
                </c:pt>
                <c:pt idx="10">
                  <c:v>51.604607846676075</c:v>
                </c:pt>
                <c:pt idx="11">
                  <c:v>29.797359853992944</c:v>
                </c:pt>
                <c:pt idx="12">
                  <c:v>18.381543538959807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91-459A-ACD8-3F60EF86D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'S6-1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'S6-1 CA'!$W$28:$W$30</c:f>
              <c:numCache>
                <c:formatCode>0.0000</c:formatCode>
                <c:ptCount val="3"/>
                <c:pt idx="0">
                  <c:v>20.907276852502392</c:v>
                </c:pt>
                <c:pt idx="1">
                  <c:v>209.07276852502406</c:v>
                </c:pt>
                <c:pt idx="2">
                  <c:v>2090.7276852502409</c:v>
                </c:pt>
              </c:numCache>
            </c:numRef>
          </c:xVal>
          <c:yVal>
            <c:numRef>
              <c:f>'S6-1 CA'!$O$28:$O$30</c:f>
              <c:numCache>
                <c:formatCode>0.0</c:formatCode>
                <c:ptCount val="3"/>
                <c:pt idx="0">
                  <c:v>903.92352919098994</c:v>
                </c:pt>
                <c:pt idx="1">
                  <c:v>1197.2381813598799</c:v>
                </c:pt>
                <c:pt idx="2">
                  <c:v>1553.16079043642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91-459A-ACD8-3F60EF86DBD5}"/>
            </c:ext>
          </c:extLst>
        </c:ser>
        <c:ser>
          <c:idx val="2"/>
          <c:order val="2"/>
          <c:tx>
            <c:strRef>
              <c:f>'S6-1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'S6-1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'S6-1 CA'!$O$31:$O$33</c:f>
              <c:numCache>
                <c:formatCode>0.0</c:formatCode>
                <c:ptCount val="3"/>
                <c:pt idx="0">
                  <c:v>303.12887244090001</c:v>
                </c:pt>
                <c:pt idx="1">
                  <c:v>479.25303229770998</c:v>
                </c:pt>
                <c:pt idx="2">
                  <c:v>739.40238837497998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91-459A-ACD8-3F60EF86DBD5}"/>
            </c:ext>
          </c:extLst>
        </c:ser>
        <c:ser>
          <c:idx val="3"/>
          <c:order val="3"/>
          <c:tx>
            <c:strRef>
              <c:f>'S6-1 CA'!$A$30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'S6-1 CA'!$W$34:$W$37</c:f>
              <c:numCache>
                <c:formatCode>0.0000</c:formatCode>
                <c:ptCount val="4"/>
                <c:pt idx="0">
                  <c:v>2.710550263153884E-5</c:v>
                </c:pt>
                <c:pt idx="1">
                  <c:v>2.7105502631538821E-4</c:v>
                </c:pt>
                <c:pt idx="2">
                  <c:v>2.7105502631538849E-3</c:v>
                </c:pt>
                <c:pt idx="3">
                  <c:v>2.7105502631538846E-2</c:v>
                </c:pt>
              </c:numCache>
            </c:numRef>
          </c:xVal>
          <c:yVal>
            <c:numRef>
              <c:f>'S6-1 CA'!$O$34:$O$37</c:f>
              <c:numCache>
                <c:formatCode>0.0</c:formatCode>
                <c:ptCount val="4"/>
                <c:pt idx="0">
                  <c:v>38.478511894053007</c:v>
                </c:pt>
                <c:pt idx="1">
                  <c:v>64.246883347163006</c:v>
                </c:pt>
                <c:pt idx="2">
                  <c:v>115.41136272582401</c:v>
                </c:pt>
                <c:pt idx="3">
                  <c:v>235.63797835358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91-459A-ACD8-3F60EF86D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'S6-1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'S6-1 CA'!$W$28:$W$30</c:f>
              <c:numCache>
                <c:formatCode>0.0000</c:formatCode>
                <c:ptCount val="3"/>
                <c:pt idx="0">
                  <c:v>20.907276852502392</c:v>
                </c:pt>
                <c:pt idx="1">
                  <c:v>209.07276852502406</c:v>
                </c:pt>
                <c:pt idx="2">
                  <c:v>2090.7276852502409</c:v>
                </c:pt>
              </c:numCache>
            </c:numRef>
          </c:xVal>
          <c:yVal>
            <c:numRef>
              <c:f>'S6-1 CA'!$P$28:$P$30</c:f>
              <c:numCache>
                <c:formatCode>0.0</c:formatCode>
                <c:ptCount val="3"/>
                <c:pt idx="0">
                  <c:v>13.143333333333333</c:v>
                </c:pt>
                <c:pt idx="1">
                  <c:v>11.513333333333334</c:v>
                </c:pt>
                <c:pt idx="2">
                  <c:v>10.286666666666667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8-4BD5-A581-F5E19F39C91C}"/>
            </c:ext>
          </c:extLst>
        </c:ser>
        <c:ser>
          <c:idx val="2"/>
          <c:order val="1"/>
          <c:tx>
            <c:strRef>
              <c:f>'S6-1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'S6-1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'S6-1 CA'!$P$31:$P$33</c:f>
              <c:numCache>
                <c:formatCode>0.0</c:formatCode>
                <c:ptCount val="3"/>
                <c:pt idx="0">
                  <c:v>22.256666666666664</c:v>
                </c:pt>
                <c:pt idx="1">
                  <c:v>19.84</c:v>
                </c:pt>
                <c:pt idx="2">
                  <c:v>16.986666666666668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E8-4BD5-A581-F5E19F39C91C}"/>
            </c:ext>
          </c:extLst>
        </c:ser>
        <c:ser>
          <c:idx val="3"/>
          <c:order val="2"/>
          <c:tx>
            <c:strRef>
              <c:f>'S6-1 CA'!$A$30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'S6-1 CA'!$W$34:$W$37</c:f>
              <c:numCache>
                <c:formatCode>0.0000</c:formatCode>
                <c:ptCount val="4"/>
                <c:pt idx="0">
                  <c:v>2.710550263153884E-5</c:v>
                </c:pt>
                <c:pt idx="1">
                  <c:v>2.7105502631538821E-4</c:v>
                </c:pt>
                <c:pt idx="2">
                  <c:v>2.7105502631538849E-3</c:v>
                </c:pt>
                <c:pt idx="3">
                  <c:v>2.7105502631538846E-2</c:v>
                </c:pt>
              </c:numCache>
            </c:numRef>
          </c:xVal>
          <c:yVal>
            <c:numRef>
              <c:f>'S6-1 CA'!$P$34:$P$37</c:f>
              <c:numCache>
                <c:formatCode>0.0</c:formatCode>
                <c:ptCount val="4"/>
                <c:pt idx="0">
                  <c:v>25.043333333333333</c:v>
                </c:pt>
                <c:pt idx="1">
                  <c:v>26.83</c:v>
                </c:pt>
                <c:pt idx="2">
                  <c:v>27.386666666666667</c:v>
                </c:pt>
                <c:pt idx="3">
                  <c:v>25.606666666666666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E8-4BD5-A581-F5E19F39C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'S13-1 RH'!$M$48:$M$60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'S13-1 RH'!$O$48:$O$60</c:f>
              <c:numCache>
                <c:formatCode>#,##0.0</c:formatCode>
                <c:ptCount val="13"/>
                <c:pt idx="0">
                  <c:v>2476.2509419911071</c:v>
                </c:pt>
                <c:pt idx="1">
                  <c:v>2245.5144269370071</c:v>
                </c:pt>
                <c:pt idx="2">
                  <c:v>1948.4822107967866</c:v>
                </c:pt>
                <c:pt idx="3">
                  <c:v>1590.7043120668868</c:v>
                </c:pt>
                <c:pt idx="4">
                  <c:v>1197.2035973793686</c:v>
                </c:pt>
                <c:pt idx="5">
                  <c:v>813.12511791197176</c:v>
                </c:pt>
                <c:pt idx="6">
                  <c:v>489.94485472682658</c:v>
                </c:pt>
                <c:pt idx="7">
                  <c:v>260.75081591509587</c:v>
                </c:pt>
                <c:pt idx="8">
                  <c:v>124.69100251249843</c:v>
                </c:pt>
                <c:pt idx="9">
                  <c:v>55.894074665332916</c:v>
                </c:pt>
                <c:pt idx="10">
                  <c:v>24.950638177389223</c:v>
                </c:pt>
                <c:pt idx="11">
                  <c:v>11.797439706442791</c:v>
                </c:pt>
                <c:pt idx="12">
                  <c:v>6.1827511353728424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F1-4D35-AB56-946004BDE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'S13-1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'S13-1 RH'!$W$28:$W$30</c:f>
              <c:numCache>
                <c:formatCode>0.0000</c:formatCode>
                <c:ptCount val="3"/>
                <c:pt idx="0">
                  <c:v>12.683671306454308</c:v>
                </c:pt>
                <c:pt idx="1">
                  <c:v>126.83671306454309</c:v>
                </c:pt>
                <c:pt idx="2">
                  <c:v>1268.3671306454312</c:v>
                </c:pt>
              </c:numCache>
            </c:numRef>
          </c:xVal>
          <c:yVal>
            <c:numRef>
              <c:f>'S13-1 RH'!$O$28:$O$30</c:f>
              <c:numCache>
                <c:formatCode>0.0</c:formatCode>
                <c:ptCount val="3"/>
                <c:pt idx="0">
                  <c:v>914.31790041504007</c:v>
                </c:pt>
                <c:pt idx="1">
                  <c:v>1252.159138153</c:v>
                </c:pt>
                <c:pt idx="2">
                  <c:v>1623.3107097205902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F1-4D35-AB56-946004BDEE4A}"/>
            </c:ext>
          </c:extLst>
        </c:ser>
        <c:ser>
          <c:idx val="2"/>
          <c:order val="2"/>
          <c:tx>
            <c:strRef>
              <c:f>'S13-1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'S13-1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'S13-1 RH'!$O$31:$O$33</c:f>
              <c:numCache>
                <c:formatCode>0.0</c:formatCode>
                <c:ptCount val="3"/>
                <c:pt idx="0">
                  <c:v>254.05777108084999</c:v>
                </c:pt>
                <c:pt idx="1">
                  <c:v>464.55587484603001</c:v>
                </c:pt>
                <c:pt idx="2">
                  <c:v>766.66948312086004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F1-4D35-AB56-946004BDEE4A}"/>
            </c:ext>
          </c:extLst>
        </c:ser>
        <c:ser>
          <c:idx val="3"/>
          <c:order val="3"/>
          <c:tx>
            <c:strRef>
              <c:f>'S13-1 RH'!$A$29</c:f>
              <c:strCache>
                <c:ptCount val="1"/>
                <c:pt idx="0">
                  <c:v>35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'S13-1 RH'!$W$34:$W$36</c:f>
              <c:numCache>
                <c:formatCode>0.0000</c:formatCode>
                <c:ptCount val="3"/>
                <c:pt idx="0">
                  <c:v>1.6848871893003839E-3</c:v>
                </c:pt>
                <c:pt idx="1">
                  <c:v>1.6848871893003842E-2</c:v>
                </c:pt>
                <c:pt idx="2">
                  <c:v>0.16848871893003853</c:v>
                </c:pt>
              </c:numCache>
            </c:numRef>
          </c:xVal>
          <c:yVal>
            <c:numRef>
              <c:f>'S13-1 RH'!$O$34:$O$36</c:f>
              <c:numCache>
                <c:formatCode>0.0</c:formatCode>
                <c:ptCount val="3"/>
                <c:pt idx="0">
                  <c:v>66.789878353605005</c:v>
                </c:pt>
                <c:pt idx="1">
                  <c:v>150.70387897492401</c:v>
                </c:pt>
                <c:pt idx="2">
                  <c:v>320.53340100209999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F1-4D35-AB56-946004BDE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'S13-1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'S13-1 RH'!$W$28:$W$30</c:f>
              <c:numCache>
                <c:formatCode>0.0000</c:formatCode>
                <c:ptCount val="3"/>
                <c:pt idx="0">
                  <c:v>12.683671306454308</c:v>
                </c:pt>
                <c:pt idx="1">
                  <c:v>126.83671306454309</c:v>
                </c:pt>
                <c:pt idx="2">
                  <c:v>1268.3671306454312</c:v>
                </c:pt>
              </c:numCache>
            </c:numRef>
          </c:xVal>
          <c:yVal>
            <c:numRef>
              <c:f>'S13-1 RH'!$P$28:$P$30</c:f>
              <c:numCache>
                <c:formatCode>0.0</c:formatCode>
                <c:ptCount val="3"/>
                <c:pt idx="0">
                  <c:v>14.803333333333335</c:v>
                </c:pt>
                <c:pt idx="1">
                  <c:v>11.796666666666667</c:v>
                </c:pt>
                <c:pt idx="2">
                  <c:v>9.5899999999999981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6-45FD-995E-8F6308FB79F0}"/>
            </c:ext>
          </c:extLst>
        </c:ser>
        <c:ser>
          <c:idx val="2"/>
          <c:order val="1"/>
          <c:tx>
            <c:strRef>
              <c:f>'S13-1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'S13-1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'S13-1 RH'!$P$31:$P$33</c:f>
              <c:numCache>
                <c:formatCode>0.0</c:formatCode>
                <c:ptCount val="3"/>
                <c:pt idx="0">
                  <c:v>28.246666666666666</c:v>
                </c:pt>
                <c:pt idx="1">
                  <c:v>23.193333333333332</c:v>
                </c:pt>
                <c:pt idx="2">
                  <c:v>18.323333333333334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06-45FD-995E-8F6308FB79F0}"/>
            </c:ext>
          </c:extLst>
        </c:ser>
        <c:ser>
          <c:idx val="3"/>
          <c:order val="2"/>
          <c:tx>
            <c:strRef>
              <c:f>'S13-1 RH'!$A$29</c:f>
              <c:strCache>
                <c:ptCount val="1"/>
                <c:pt idx="0">
                  <c:v>35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'S13-1 RH'!$W$34:$W$36</c:f>
              <c:numCache>
                <c:formatCode>0.0000</c:formatCode>
                <c:ptCount val="3"/>
                <c:pt idx="0">
                  <c:v>1.6848871893003839E-3</c:v>
                </c:pt>
                <c:pt idx="1">
                  <c:v>1.6848871893003842E-2</c:v>
                </c:pt>
                <c:pt idx="2">
                  <c:v>0.16848871893003853</c:v>
                </c:pt>
              </c:numCache>
            </c:numRef>
          </c:xVal>
          <c:yVal>
            <c:numRef>
              <c:f>'S13-1 RH'!$P$34:$P$36</c:f>
              <c:numCache>
                <c:formatCode>0.0</c:formatCode>
                <c:ptCount val="3"/>
                <c:pt idx="0">
                  <c:v>32.99666666666667</c:v>
                </c:pt>
                <c:pt idx="1">
                  <c:v>31.586666666666662</c:v>
                </c:pt>
                <c:pt idx="2">
                  <c:v>27.196666666666669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06-45FD-995E-8F6308FB7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'S13-1 CA'!$M$48:$M$60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'S13-1 CA'!$O$48:$O$60</c:f>
              <c:numCache>
                <c:formatCode>#,##0.0</c:formatCode>
                <c:ptCount val="13"/>
                <c:pt idx="0">
                  <c:v>2465.46859636917</c:v>
                </c:pt>
                <c:pt idx="1">
                  <c:v>2255.1503604158875</c:v>
                </c:pt>
                <c:pt idx="2">
                  <c:v>1988.49236163973</c:v>
                </c:pt>
                <c:pt idx="3">
                  <c:v>1668.4501934827874</c:v>
                </c:pt>
                <c:pt idx="4">
                  <c:v>1311.5885223411583</c:v>
                </c:pt>
                <c:pt idx="5">
                  <c:v>949.94344130680031</c:v>
                </c:pt>
                <c:pt idx="6">
                  <c:v>624.50201477354847</c:v>
                </c:pt>
                <c:pt idx="7">
                  <c:v>369.6881374324945</c:v>
                </c:pt>
                <c:pt idx="8">
                  <c:v>198.08242990400086</c:v>
                </c:pt>
                <c:pt idx="9">
                  <c:v>98.297721736775998</c:v>
                </c:pt>
                <c:pt idx="10">
                  <c:v>47.027103609960967</c:v>
                </c:pt>
                <c:pt idx="11">
                  <c:v>22.786554915789679</c:v>
                </c:pt>
                <c:pt idx="12">
                  <c:v>11.709289361424691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A9-46B7-81DD-ACA846257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'S13-1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'S13-1 CA'!$W$28:$W$30</c:f>
              <c:numCache>
                <c:formatCode>0.0000</c:formatCode>
                <c:ptCount val="3"/>
                <c:pt idx="0">
                  <c:v>16.534085136221044</c:v>
                </c:pt>
                <c:pt idx="1">
                  <c:v>165.34085136221049</c:v>
                </c:pt>
                <c:pt idx="2">
                  <c:v>1653.4085136221051</c:v>
                </c:pt>
              </c:numCache>
            </c:numRef>
          </c:xVal>
          <c:yVal>
            <c:numRef>
              <c:f>'S13-1 CA'!$O$28:$O$30</c:f>
              <c:numCache>
                <c:formatCode>0.0</c:formatCode>
                <c:ptCount val="3"/>
                <c:pt idx="0">
                  <c:v>1065.2538397707801</c:v>
                </c:pt>
                <c:pt idx="1">
                  <c:v>1396.7617629489698</c:v>
                </c:pt>
                <c:pt idx="2">
                  <c:v>1750.84722734405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A9-46B7-81DD-ACA8462572AA}"/>
            </c:ext>
          </c:extLst>
        </c:ser>
        <c:ser>
          <c:idx val="2"/>
          <c:order val="2"/>
          <c:tx>
            <c:strRef>
              <c:f>'S13-1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'S13-1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'S13-1 CA'!$O$31:$O$33</c:f>
              <c:numCache>
                <c:formatCode>0.0</c:formatCode>
                <c:ptCount val="3"/>
                <c:pt idx="0">
                  <c:v>366.12359664990998</c:v>
                </c:pt>
                <c:pt idx="1">
                  <c:v>606.69285809583005</c:v>
                </c:pt>
                <c:pt idx="2">
                  <c:v>916.78354196121006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A9-46B7-81DD-ACA8462572AA}"/>
            </c:ext>
          </c:extLst>
        </c:ser>
        <c:ser>
          <c:idx val="3"/>
          <c:order val="3"/>
          <c:tx>
            <c:strRef>
              <c:f>'S13-1 CA'!$A$29</c:f>
              <c:strCache>
                <c:ptCount val="1"/>
                <c:pt idx="0">
                  <c:v>35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'S13-1 CA'!$W$34:$W$36</c:f>
              <c:numCache>
                <c:formatCode>0.0000</c:formatCode>
                <c:ptCount val="3"/>
                <c:pt idx="0">
                  <c:v>1.3473806721044635E-3</c:v>
                </c:pt>
                <c:pt idx="1">
                  <c:v>1.3473806721044637E-2</c:v>
                </c:pt>
                <c:pt idx="2">
                  <c:v>0.13473806721044634</c:v>
                </c:pt>
              </c:numCache>
            </c:numRef>
          </c:xVal>
          <c:yVal>
            <c:numRef>
              <c:f>'S13-1 CA'!$O$34:$O$36</c:f>
              <c:numCache>
                <c:formatCode>0.0</c:formatCode>
                <c:ptCount val="3"/>
                <c:pt idx="0">
                  <c:v>107.34726449246801</c:v>
                </c:pt>
                <c:pt idx="1">
                  <c:v>218.28179570505003</c:v>
                </c:pt>
                <c:pt idx="2">
                  <c:v>408.76469162485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A9-46B7-81DD-ACA846257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'S13-1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'S13-1 CA'!$W$28:$W$30</c:f>
              <c:numCache>
                <c:formatCode>0.0000</c:formatCode>
                <c:ptCount val="3"/>
                <c:pt idx="0">
                  <c:v>16.534085136221044</c:v>
                </c:pt>
                <c:pt idx="1">
                  <c:v>165.34085136221049</c:v>
                </c:pt>
                <c:pt idx="2">
                  <c:v>1653.4085136221051</c:v>
                </c:pt>
              </c:numCache>
            </c:numRef>
          </c:xVal>
          <c:yVal>
            <c:numRef>
              <c:f>'S13-1 CA'!$P$28:$P$30</c:f>
              <c:numCache>
                <c:formatCode>0.0</c:formatCode>
                <c:ptCount val="3"/>
                <c:pt idx="0">
                  <c:v>12.683333333333332</c:v>
                </c:pt>
                <c:pt idx="1">
                  <c:v>10.256666666666668</c:v>
                </c:pt>
                <c:pt idx="2">
                  <c:v>8.5533333333333328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C5-490D-8775-423E54168426}"/>
            </c:ext>
          </c:extLst>
        </c:ser>
        <c:ser>
          <c:idx val="2"/>
          <c:order val="1"/>
          <c:tx>
            <c:strRef>
              <c:f>'S13-1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'S13-1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'S13-1 CA'!$P$31:$P$33</c:f>
              <c:numCache>
                <c:formatCode>0.0</c:formatCode>
                <c:ptCount val="3"/>
                <c:pt idx="0">
                  <c:v>23.89</c:v>
                </c:pt>
                <c:pt idx="1">
                  <c:v>19.453333333333333</c:v>
                </c:pt>
                <c:pt idx="2">
                  <c:v>15.736666666666666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C5-490D-8775-423E54168426}"/>
            </c:ext>
          </c:extLst>
        </c:ser>
        <c:ser>
          <c:idx val="3"/>
          <c:order val="2"/>
          <c:tx>
            <c:strRef>
              <c:f>'S13-1 CA'!$A$29</c:f>
              <c:strCache>
                <c:ptCount val="1"/>
                <c:pt idx="0">
                  <c:v>35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'S13-1 CA'!$W$34:$W$36</c:f>
              <c:numCache>
                <c:formatCode>0.0000</c:formatCode>
                <c:ptCount val="3"/>
                <c:pt idx="0">
                  <c:v>1.3473806721044635E-3</c:v>
                </c:pt>
                <c:pt idx="1">
                  <c:v>1.3473806721044637E-2</c:v>
                </c:pt>
                <c:pt idx="2">
                  <c:v>0.13473806721044634</c:v>
                </c:pt>
              </c:numCache>
            </c:numRef>
          </c:xVal>
          <c:yVal>
            <c:numRef>
              <c:f>'S13-1 CA'!$P$34:$P$36</c:f>
              <c:numCache>
                <c:formatCode>0.0</c:formatCode>
                <c:ptCount val="3"/>
                <c:pt idx="0">
                  <c:v>30.159999999999997</c:v>
                </c:pt>
                <c:pt idx="1">
                  <c:v>28.113333333333333</c:v>
                </c:pt>
                <c:pt idx="2">
                  <c:v>24.513333333333332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C5-490D-8775-423E54168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'CG Base RH'!$M$48:$M$60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'CG Base RH'!$O$48:$O$60</c:f>
              <c:numCache>
                <c:formatCode>#,##0.0</c:formatCode>
                <c:ptCount val="13"/>
                <c:pt idx="0">
                  <c:v>2556.9166920549815</c:v>
                </c:pt>
                <c:pt idx="1">
                  <c:v>2301.112060458282</c:v>
                </c:pt>
                <c:pt idx="2">
                  <c:v>1976.6456244446754</c:v>
                </c:pt>
                <c:pt idx="3">
                  <c:v>1594.8644060325353</c:v>
                </c:pt>
                <c:pt idx="4">
                  <c:v>1188.3352918008673</c:v>
                </c:pt>
                <c:pt idx="5">
                  <c:v>806.57565315697252</c:v>
                </c:pt>
                <c:pt idx="6">
                  <c:v>496.99863174155291</c:v>
                </c:pt>
                <c:pt idx="7">
                  <c:v>281.96679217974344</c:v>
                </c:pt>
                <c:pt idx="8">
                  <c:v>152.45691849799448</c:v>
                </c:pt>
                <c:pt idx="9">
                  <c:v>82.469594770162828</c:v>
                </c:pt>
                <c:pt idx="10">
                  <c:v>46.845531125716661</c:v>
                </c:pt>
                <c:pt idx="11">
                  <c:v>28.913276934957644</c:v>
                </c:pt>
                <c:pt idx="12">
                  <c:v>19.658685465865776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DE-44B6-A8FD-59901EB92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'CG Base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'CG Base RH'!$W$28:$W$30</c:f>
              <c:numCache>
                <c:formatCode>0.0000</c:formatCode>
                <c:ptCount val="3"/>
                <c:pt idx="0">
                  <c:v>16.76285582823537</c:v>
                </c:pt>
                <c:pt idx="1">
                  <c:v>167.62855828235368</c:v>
                </c:pt>
                <c:pt idx="2">
                  <c:v>1676.2855828235372</c:v>
                </c:pt>
              </c:numCache>
            </c:numRef>
          </c:xVal>
          <c:yVal>
            <c:numRef>
              <c:f>'CG Base RH'!$O$28:$O$30</c:f>
              <c:numCache>
                <c:formatCode>0.0</c:formatCode>
                <c:ptCount val="3"/>
                <c:pt idx="0">
                  <c:v>932.97942270566</c:v>
                </c:pt>
                <c:pt idx="1">
                  <c:v>1293.4948934858501</c:v>
                </c:pt>
                <c:pt idx="2">
                  <c:v>1716.1348620469901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DE-44B6-A8FD-59901EB92E73}"/>
            </c:ext>
          </c:extLst>
        </c:ser>
        <c:ser>
          <c:idx val="2"/>
          <c:order val="2"/>
          <c:tx>
            <c:strRef>
              <c:f>'CG Base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'CG Base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'CG Base RH'!$O$31:$O$33</c:f>
              <c:numCache>
                <c:formatCode>0.0</c:formatCode>
                <c:ptCount val="3"/>
                <c:pt idx="0">
                  <c:v>280.64802304935</c:v>
                </c:pt>
                <c:pt idx="1">
                  <c:v>472.96806365061002</c:v>
                </c:pt>
                <c:pt idx="2">
                  <c:v>759.80436352172001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DE-44B6-A8FD-59901EB92E73}"/>
            </c:ext>
          </c:extLst>
        </c:ser>
        <c:ser>
          <c:idx val="3"/>
          <c:order val="3"/>
          <c:tx>
            <c:strRef>
              <c:f>'CG Base RH'!$A$29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'CG Base RH'!$W$34:$W$36</c:f>
              <c:numCache>
                <c:formatCode>0.0000</c:formatCode>
                <c:ptCount val="3"/>
                <c:pt idx="0">
                  <c:v>3.4610370415751968E-4</c:v>
                </c:pt>
                <c:pt idx="1">
                  <c:v>3.4610370415751974E-3</c:v>
                </c:pt>
                <c:pt idx="2">
                  <c:v>3.4610370415751983E-2</c:v>
                </c:pt>
              </c:numCache>
            </c:numRef>
          </c:xVal>
          <c:yVal>
            <c:numRef>
              <c:f>'CG Base RH'!$O$34:$O$36</c:f>
              <c:numCache>
                <c:formatCode>0.0</c:formatCode>
                <c:ptCount val="3"/>
                <c:pt idx="0">
                  <c:v>62.419407848237</c:v>
                </c:pt>
                <c:pt idx="1">
                  <c:v>114.115692266268</c:v>
                </c:pt>
                <c:pt idx="2">
                  <c:v>225.34029895487001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DE-44B6-A8FD-59901EB92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'CG Base RH'!$A$23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'CG Base RH'!$W$28:$W$30</c:f>
              <c:numCache>
                <c:formatCode>0.0000</c:formatCode>
                <c:ptCount val="3"/>
                <c:pt idx="0">
                  <c:v>16.76285582823537</c:v>
                </c:pt>
                <c:pt idx="1">
                  <c:v>167.62855828235368</c:v>
                </c:pt>
                <c:pt idx="2">
                  <c:v>1676.2855828235372</c:v>
                </c:pt>
              </c:numCache>
            </c:numRef>
          </c:xVal>
          <c:yVal>
            <c:numRef>
              <c:f>'CG Base RH'!$P$28:$P$30</c:f>
              <c:numCache>
                <c:formatCode>0.0</c:formatCode>
                <c:ptCount val="3"/>
                <c:pt idx="0">
                  <c:v>15.333333333333334</c:v>
                </c:pt>
                <c:pt idx="1">
                  <c:v>12.803333333333333</c:v>
                </c:pt>
                <c:pt idx="2">
                  <c:v>10.81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F-4C6A-AEFD-85B16AB15263}"/>
            </c:ext>
          </c:extLst>
        </c:ser>
        <c:ser>
          <c:idx val="2"/>
          <c:order val="1"/>
          <c:tx>
            <c:strRef>
              <c:f>'CG Base RH'!$A$26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'CG Base RH'!$W$31:$W$33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'CG Base RH'!$P$31:$P$33</c:f>
              <c:numCache>
                <c:formatCode>0.0</c:formatCode>
                <c:ptCount val="3"/>
                <c:pt idx="0">
                  <c:v>23.909999999999997</c:v>
                </c:pt>
                <c:pt idx="1">
                  <c:v>21.956666666666667</c:v>
                </c:pt>
                <c:pt idx="2">
                  <c:v>19.323333333333334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3F-4C6A-AEFD-85B16AB15263}"/>
            </c:ext>
          </c:extLst>
        </c:ser>
        <c:ser>
          <c:idx val="3"/>
          <c:order val="2"/>
          <c:tx>
            <c:strRef>
              <c:f>'CG Base RH'!$A$29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'CG Base RH'!$W$34:$W$36</c:f>
              <c:numCache>
                <c:formatCode>0.0000</c:formatCode>
                <c:ptCount val="3"/>
                <c:pt idx="0">
                  <c:v>3.4610370415751968E-4</c:v>
                </c:pt>
                <c:pt idx="1">
                  <c:v>3.4610370415751974E-3</c:v>
                </c:pt>
                <c:pt idx="2">
                  <c:v>3.4610370415751983E-2</c:v>
                </c:pt>
              </c:numCache>
            </c:numRef>
          </c:xVal>
          <c:yVal>
            <c:numRef>
              <c:f>'CG Base RH'!$P$34:$P$36</c:f>
              <c:numCache>
                <c:formatCode>0.0</c:formatCode>
                <c:ptCount val="3"/>
                <c:pt idx="0">
                  <c:v>24.570000000000004</c:v>
                </c:pt>
                <c:pt idx="1">
                  <c:v>26.819999999999997</c:v>
                </c:pt>
                <c:pt idx="2">
                  <c:v>27.073333333333334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3F-4C6A-AEFD-85B16AB15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Mastercurve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'CG Base CA'!$M$48:$M$60</c:f>
              <c:numCache>
                <c:formatCode>0.00E+00</c:formatCode>
                <c:ptCount val="13"/>
                <c:pt idx="0">
                  <c:v>1000000</c:v>
                </c:pt>
                <c:pt idx="1">
                  <c:v>100000</c:v>
                </c:pt>
                <c:pt idx="2">
                  <c:v>10000</c:v>
                </c:pt>
                <c:pt idx="3">
                  <c:v>1000</c:v>
                </c:pt>
                <c:pt idx="4">
                  <c:v>100</c:v>
                </c:pt>
                <c:pt idx="5">
                  <c:v>10</c:v>
                </c:pt>
                <c:pt idx="6">
                  <c:v>1</c:v>
                </c:pt>
                <c:pt idx="7">
                  <c:v>0.1</c:v>
                </c:pt>
                <c:pt idx="8">
                  <c:v>0.01</c:v>
                </c:pt>
                <c:pt idx="9">
                  <c:v>1E-3</c:v>
                </c:pt>
                <c:pt idx="10">
                  <c:v>1E-4</c:v>
                </c:pt>
                <c:pt idx="11">
                  <c:v>1.0000000000000001E-5</c:v>
                </c:pt>
                <c:pt idx="12">
                  <c:v>9.9999999999999995E-7</c:v>
                </c:pt>
              </c:numCache>
            </c:numRef>
          </c:xVal>
          <c:yVal>
            <c:numRef>
              <c:f>'CG Base CA'!$O$48:$O$60</c:f>
              <c:numCache>
                <c:formatCode>#,##0.0</c:formatCode>
                <c:ptCount val="13"/>
                <c:pt idx="0">
                  <c:v>2700.5977442661779</c:v>
                </c:pt>
                <c:pt idx="1">
                  <c:v>2487.2088263896762</c:v>
                </c:pt>
                <c:pt idx="2">
                  <c:v>2207.3460712054466</c:v>
                </c:pt>
                <c:pt idx="3">
                  <c:v>1861.843257175507</c:v>
                </c:pt>
                <c:pt idx="4">
                  <c:v>1468.9681688798385</c:v>
                </c:pt>
                <c:pt idx="5">
                  <c:v>1067.507201747788</c:v>
                </c:pt>
                <c:pt idx="6">
                  <c:v>707.51531974940974</c:v>
                </c:pt>
                <c:pt idx="7">
                  <c:v>428.83083006381838</c:v>
                </c:pt>
                <c:pt idx="8">
                  <c:v>242.75970781665973</c:v>
                </c:pt>
                <c:pt idx="9">
                  <c:v>133.46797424403832</c:v>
                </c:pt>
                <c:pt idx="10">
                  <c:v>74.755612666592086</c:v>
                </c:pt>
                <c:pt idx="11">
                  <c:v>44.493401550334639</c:v>
                </c:pt>
                <c:pt idx="12">
                  <c:v>28.868573062579475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5E-446F-8F6C-9C704B982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scatterChart>
        <c:scatterStyle val="lineMarker"/>
        <c:varyColors val="0"/>
        <c:ser>
          <c:idx val="1"/>
          <c:order val="1"/>
          <c:tx>
            <c:strRef>
              <c:f>'CG Base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xVal>
            <c:numRef>
              <c:f>'CG Base CA'!$W$28:$W$30</c:f>
              <c:numCache>
                <c:formatCode>0.0000</c:formatCode>
                <c:ptCount val="3"/>
                <c:pt idx="0">
                  <c:v>17.88691626933149</c:v>
                </c:pt>
                <c:pt idx="1">
                  <c:v>178.86916269331502</c:v>
                </c:pt>
                <c:pt idx="2">
                  <c:v>1788.6916269331505</c:v>
                </c:pt>
              </c:numCache>
            </c:numRef>
          </c:xVal>
          <c:yVal>
            <c:numRef>
              <c:f>'CG Base CA'!$O$28:$O$30</c:f>
              <c:numCache>
                <c:formatCode>0.0</c:formatCode>
                <c:ptCount val="3"/>
                <c:pt idx="0">
                  <c:v>1228.9531000713998</c:v>
                </c:pt>
                <c:pt idx="1">
                  <c:v>1587.8731557334802</c:v>
                </c:pt>
                <c:pt idx="2">
                  <c:v>2004.1798097348501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5E-446F-8F6C-9C704B982EE3}"/>
            </c:ext>
          </c:extLst>
        </c:ser>
        <c:ser>
          <c:idx val="2"/>
          <c:order val="2"/>
          <c:tx>
            <c:strRef>
              <c:f>'CG Base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xVal>
            <c:numRef>
              <c:f>'CG Base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'CG Base CA'!$O$31:$O$33</c:f>
              <c:numCache>
                <c:formatCode>0.0</c:formatCode>
                <c:ptCount val="3"/>
                <c:pt idx="0">
                  <c:v>429.69847181095997</c:v>
                </c:pt>
                <c:pt idx="1">
                  <c:v>668.04382127406006</c:v>
                </c:pt>
                <c:pt idx="2">
                  <c:v>1002.83926651381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5E-446F-8F6C-9C704B982EE3}"/>
            </c:ext>
          </c:extLst>
        </c:ser>
        <c:ser>
          <c:idx val="3"/>
          <c:order val="3"/>
          <c:tx>
            <c:strRef>
              <c:f>'CG Base CA'!$A$29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xVal>
            <c:numRef>
              <c:f>'CG Base CA'!$W$34:$W$36</c:f>
              <c:numCache>
                <c:formatCode>0.0000</c:formatCode>
                <c:ptCount val="3"/>
                <c:pt idx="0">
                  <c:v>3.2212355748894813E-4</c:v>
                </c:pt>
                <c:pt idx="1">
                  <c:v>3.2212355748894826E-3</c:v>
                </c:pt>
                <c:pt idx="2">
                  <c:v>3.2212355748894826E-2</c:v>
                </c:pt>
              </c:numCache>
            </c:numRef>
          </c:xVal>
          <c:yVal>
            <c:numRef>
              <c:f>'CG Base CA'!$O$34:$O$36</c:f>
              <c:numCache>
                <c:formatCode>0.0</c:formatCode>
                <c:ptCount val="3"/>
                <c:pt idx="0">
                  <c:v>99.152632294903</c:v>
                </c:pt>
                <c:pt idx="1">
                  <c:v>179.31499009302999</c:v>
                </c:pt>
                <c:pt idx="2">
                  <c:v>345.72162150316996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5E-446F-8F6C-9C704B982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40816"/>
        <c:axId val="540847048"/>
      </c:scatterChart>
      <c:valAx>
        <c:axId val="540840816"/>
        <c:scaling>
          <c:logBase val="10"/>
          <c:orientation val="minMax"/>
          <c:max val="1000000"/>
          <c:min val="1.0000000000000004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7048"/>
        <c:crosses val="autoZero"/>
        <c:crossBetween val="midCat"/>
        <c:majorUnit val="1000"/>
      </c:valAx>
      <c:valAx>
        <c:axId val="540847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Dynamic Modulus (E*) (ksi)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816"/>
        <c:crossesAt val="1.0000000000000004E-6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21055315663447"/>
          <c:y val="2.4689254154227409E-2"/>
          <c:w val="0.84293018508440998"/>
          <c:h val="0.751005360062240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'CG Base CA'!$A$23</c:f>
              <c:strCache>
                <c:ptCount val="1"/>
                <c:pt idx="0">
                  <c:v>4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'CG Base CA'!$W$28:$W$30</c:f>
              <c:numCache>
                <c:formatCode>0.0000</c:formatCode>
                <c:ptCount val="3"/>
                <c:pt idx="0">
                  <c:v>17.88691626933149</c:v>
                </c:pt>
                <c:pt idx="1">
                  <c:v>178.86916269331502</c:v>
                </c:pt>
                <c:pt idx="2">
                  <c:v>1788.6916269331505</c:v>
                </c:pt>
              </c:numCache>
            </c:numRef>
          </c:xVal>
          <c:yVal>
            <c:numRef>
              <c:f>'CG Base CA'!$P$28:$P$30</c:f>
              <c:numCache>
                <c:formatCode>0.0</c:formatCode>
                <c:ptCount val="3"/>
                <c:pt idx="0">
                  <c:v>12.166666666666666</c:v>
                </c:pt>
                <c:pt idx="1">
                  <c:v>10.306666666666667</c:v>
                </c:pt>
                <c:pt idx="2">
                  <c:v>8.9833333333333343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DE-4685-B7D5-EE4CB5600645}"/>
            </c:ext>
          </c:extLst>
        </c:ser>
        <c:ser>
          <c:idx val="2"/>
          <c:order val="1"/>
          <c:tx>
            <c:strRef>
              <c:f>'CG Base CA'!$A$26</c:f>
              <c:strCache>
                <c:ptCount val="1"/>
                <c:pt idx="0">
                  <c:v>20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'CG Base CA'!$W$31:$W$33</c:f>
              <c:numCache>
                <c:formatCode>0.0000</c:formatCode>
                <c:ptCount val="3"/>
                <c:pt idx="0">
                  <c:v>0.1</c:v>
                </c:pt>
                <c:pt idx="1">
                  <c:v>1</c:v>
                </c:pt>
                <c:pt idx="2">
                  <c:v>10</c:v>
                </c:pt>
              </c:numCache>
            </c:numRef>
          </c:xVal>
          <c:yVal>
            <c:numRef>
              <c:f>'CG Base CA'!$P$31:$P$33</c:f>
              <c:numCache>
                <c:formatCode>0.0</c:formatCode>
                <c:ptCount val="3"/>
                <c:pt idx="0">
                  <c:v>21.573333333333334</c:v>
                </c:pt>
                <c:pt idx="1">
                  <c:v>18.936666666666667</c:v>
                </c:pt>
                <c:pt idx="2">
                  <c:v>15.833333333333334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DE-4685-B7D5-EE4CB5600645}"/>
            </c:ext>
          </c:extLst>
        </c:ser>
        <c:ser>
          <c:idx val="3"/>
          <c:order val="2"/>
          <c:tx>
            <c:strRef>
              <c:f>'CG Base CA'!$A$29</c:f>
              <c:strCache>
                <c:ptCount val="1"/>
                <c:pt idx="0">
                  <c:v>40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12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'CG Base CA'!$W$34:$W$36</c:f>
              <c:numCache>
                <c:formatCode>0.0000</c:formatCode>
                <c:ptCount val="3"/>
                <c:pt idx="0">
                  <c:v>3.2212355748894813E-4</c:v>
                </c:pt>
                <c:pt idx="1">
                  <c:v>3.2212355748894826E-3</c:v>
                </c:pt>
                <c:pt idx="2">
                  <c:v>3.2212355748894826E-2</c:v>
                </c:pt>
              </c:numCache>
            </c:numRef>
          </c:xVal>
          <c:yVal>
            <c:numRef>
              <c:f>'CG Base CA'!$P$34:$P$36</c:f>
              <c:numCache>
                <c:formatCode>0.0</c:formatCode>
                <c:ptCount val="3"/>
                <c:pt idx="0">
                  <c:v>26.016666666666666</c:v>
                </c:pt>
                <c:pt idx="1">
                  <c:v>26.606666666666666</c:v>
                </c:pt>
                <c:pt idx="2">
                  <c:v>24.196666666666669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DE-4685-B7D5-EE4CB5600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62136"/>
        <c:axId val="540834584"/>
      </c:scatterChart>
      <c:valAx>
        <c:axId val="540862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34584"/>
        <c:crosses val="autoZero"/>
        <c:crossBetween val="midCat"/>
      </c:valAx>
      <c:valAx>
        <c:axId val="5408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 (deg)</a:t>
                </a:r>
              </a:p>
            </c:rich>
          </c:tx>
          <c:layout>
            <c:manualLayout>
              <c:xMode val="edge"/>
              <c:yMode val="edge"/>
              <c:x val="6.2067042669136964E-3"/>
              <c:y val="0.28236542708093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62136"/>
        <c:crossesAt val="1.0000000000000005E-7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63191-1884-47FA-9CDD-4C06B88FE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356509-3BBF-4322-9A98-CC77B3518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7C97D610-BF11-474C-999C-DA433EBD4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568613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202407</xdr:colOff>
      <xdr:row>0</xdr:row>
      <xdr:rowOff>71437</xdr:rowOff>
    </xdr:from>
    <xdr:to>
      <xdr:col>11</xdr:col>
      <xdr:colOff>83344</xdr:colOff>
      <xdr:row>6</xdr:row>
      <xdr:rowOff>182691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E9200190-4D33-4663-8E1A-54D7A96B4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182" y="71437"/>
          <a:ext cx="2459831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F7ED6-1655-4A79-8DAE-FC13D7096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9FFCD4-A615-4D58-8777-94275CE2F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02856993-B51C-4A9B-9015-24BF7666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238125</xdr:colOff>
      <xdr:row>0</xdr:row>
      <xdr:rowOff>71438</xdr:rowOff>
    </xdr:from>
    <xdr:to>
      <xdr:col>11</xdr:col>
      <xdr:colOff>178594</xdr:colOff>
      <xdr:row>6</xdr:row>
      <xdr:rowOff>182692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2292230E-4CF8-4C60-9FD6-D454D9C18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71438"/>
          <a:ext cx="2464594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1F68D0-61AD-47D1-B56F-02D781282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6FCD82-EC1B-4920-AE81-ABAC8855B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7E20DF60-556F-4CE3-8F24-9E67245F6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202407</xdr:colOff>
      <xdr:row>0</xdr:row>
      <xdr:rowOff>71437</xdr:rowOff>
    </xdr:from>
    <xdr:to>
      <xdr:col>11</xdr:col>
      <xdr:colOff>83344</xdr:colOff>
      <xdr:row>6</xdr:row>
      <xdr:rowOff>182691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AB563C7D-D7AD-4601-A4B6-9859A922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182" y="71437"/>
          <a:ext cx="2462212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0BBF6-DF10-4F13-A2B1-06CCAE720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A6F4F8-BD74-4940-815A-9934C6350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5CED9F95-EEBE-4469-990E-A4F81EEA1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202407</xdr:colOff>
      <xdr:row>0</xdr:row>
      <xdr:rowOff>71437</xdr:rowOff>
    </xdr:from>
    <xdr:to>
      <xdr:col>11</xdr:col>
      <xdr:colOff>83344</xdr:colOff>
      <xdr:row>6</xdr:row>
      <xdr:rowOff>182691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D32ECA6B-21AC-4183-B51D-6F5958340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182" y="71437"/>
          <a:ext cx="2462212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7B567-6B4D-42FA-940A-D439C2059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4A7E04-FA32-4E56-96AA-2CEEC2147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45D3F371-4E9C-4337-BF75-1DDE69E07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202407</xdr:colOff>
      <xdr:row>0</xdr:row>
      <xdr:rowOff>71437</xdr:rowOff>
    </xdr:from>
    <xdr:to>
      <xdr:col>11</xdr:col>
      <xdr:colOff>83344</xdr:colOff>
      <xdr:row>6</xdr:row>
      <xdr:rowOff>182691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F67B74A2-D2A1-4E7F-A3A8-8474AFB73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182" y="71437"/>
          <a:ext cx="2462212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15926D-143D-47EC-9D11-270DD2187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341E63-806F-40A8-85D2-9C3596DC6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6CE5E492-1D8C-4EC0-A32B-C43808074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202407</xdr:colOff>
      <xdr:row>0</xdr:row>
      <xdr:rowOff>71437</xdr:rowOff>
    </xdr:from>
    <xdr:to>
      <xdr:col>11</xdr:col>
      <xdr:colOff>83344</xdr:colOff>
      <xdr:row>6</xdr:row>
      <xdr:rowOff>182691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9896CF55-7D47-4DBE-ABC1-55F1010B4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182" y="71437"/>
          <a:ext cx="2462212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3F961-733D-4D2D-BFE0-1B36FADE3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BB8D5A-936A-4BB5-96DC-926FDB763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AD09B7AE-2E1F-4B55-B846-575B0632F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202407</xdr:colOff>
      <xdr:row>0</xdr:row>
      <xdr:rowOff>71437</xdr:rowOff>
    </xdr:from>
    <xdr:to>
      <xdr:col>11</xdr:col>
      <xdr:colOff>83344</xdr:colOff>
      <xdr:row>6</xdr:row>
      <xdr:rowOff>182691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7E69819E-D866-45C2-AB50-D577D7571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182" y="71437"/>
          <a:ext cx="2462212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65CEF-BBEC-430A-AA3B-B498C97DB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C94A16-EFC2-4A68-8577-BC6114688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1BC0222A-55CA-426A-A35E-A55394605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568613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238125</xdr:colOff>
      <xdr:row>0</xdr:row>
      <xdr:rowOff>71438</xdr:rowOff>
    </xdr:from>
    <xdr:to>
      <xdr:col>11</xdr:col>
      <xdr:colOff>178594</xdr:colOff>
      <xdr:row>6</xdr:row>
      <xdr:rowOff>182692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4BCBEBDA-EC13-4666-9977-348A4A8B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71438"/>
          <a:ext cx="2459831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48EC3-536A-424C-B214-B270C6E04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FFF1D-EB37-4CFF-A883-0D68E2D04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2261296B-FD38-4116-8B28-EF3A0E81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238125</xdr:colOff>
      <xdr:row>0</xdr:row>
      <xdr:rowOff>71438</xdr:rowOff>
    </xdr:from>
    <xdr:to>
      <xdr:col>11</xdr:col>
      <xdr:colOff>178594</xdr:colOff>
      <xdr:row>6</xdr:row>
      <xdr:rowOff>182692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B95572AA-BADE-46B8-94D7-E3E9C3F4C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71438"/>
          <a:ext cx="2464594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4853E-919C-4089-BACB-DF683B029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7A94BE-8A93-4FA8-9AFD-01957FF47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7EC2FA9A-B1A0-4219-B88C-06EBBEAD4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238125</xdr:colOff>
      <xdr:row>0</xdr:row>
      <xdr:rowOff>71438</xdr:rowOff>
    </xdr:from>
    <xdr:to>
      <xdr:col>11</xdr:col>
      <xdr:colOff>178594</xdr:colOff>
      <xdr:row>6</xdr:row>
      <xdr:rowOff>182692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09454B6D-391C-4C40-89C2-D905A2F66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71438"/>
          <a:ext cx="2464594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19EE7-BDB2-4BEC-B3BA-FFFC0D42B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996B87-B5E5-49B1-8F82-3B5AB19BA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E92612B2-7084-4EE6-93EF-8222B0B8F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238125</xdr:colOff>
      <xdr:row>0</xdr:row>
      <xdr:rowOff>71438</xdr:rowOff>
    </xdr:from>
    <xdr:to>
      <xdr:col>11</xdr:col>
      <xdr:colOff>178594</xdr:colOff>
      <xdr:row>6</xdr:row>
      <xdr:rowOff>182692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88CA02F7-E89F-40F0-A3EE-2104BD93B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71438"/>
          <a:ext cx="2464594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F83C8F-03A8-453C-BAE2-91586EFBF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0CEA3B-2358-4C14-A9F8-5DF338FBE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9FDE9992-0B2A-4387-8EC3-8E9106FC0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238125</xdr:colOff>
      <xdr:row>0</xdr:row>
      <xdr:rowOff>71438</xdr:rowOff>
    </xdr:from>
    <xdr:to>
      <xdr:col>11</xdr:col>
      <xdr:colOff>178594</xdr:colOff>
      <xdr:row>6</xdr:row>
      <xdr:rowOff>182692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BF04B153-238B-4A12-817F-0833076E2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71438"/>
          <a:ext cx="2464594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724D8-8C58-4714-BEE3-32095B56D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6EFF87-898E-4279-8BC9-09C753E85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7AD0DEEE-1EB0-480E-8A64-BBE97952A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202407</xdr:colOff>
      <xdr:row>0</xdr:row>
      <xdr:rowOff>71437</xdr:rowOff>
    </xdr:from>
    <xdr:to>
      <xdr:col>11</xdr:col>
      <xdr:colOff>83344</xdr:colOff>
      <xdr:row>6</xdr:row>
      <xdr:rowOff>182691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3F946D78-9DF9-4BA0-9C9E-B4F41AEF9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182" y="71437"/>
          <a:ext cx="2462212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BA30B-9118-49DD-A1ED-48578A9CF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67F4EE-40B1-4355-8B17-02226D22C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6DF226DB-3587-42F3-A7B2-FA666BC72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202407</xdr:colOff>
      <xdr:row>0</xdr:row>
      <xdr:rowOff>71437</xdr:rowOff>
    </xdr:from>
    <xdr:to>
      <xdr:col>11</xdr:col>
      <xdr:colOff>83344</xdr:colOff>
      <xdr:row>6</xdr:row>
      <xdr:rowOff>182691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6A404E91-6D1F-44F3-A7EA-CE5394D9B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182" y="71437"/>
          <a:ext cx="2462212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10B76E-4DDD-43DC-A457-A4B384F39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7A8CD-84C8-4351-B01F-7114F157F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4CE11BFF-E888-4562-94DF-C3329218F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202407</xdr:colOff>
      <xdr:row>0</xdr:row>
      <xdr:rowOff>71437</xdr:rowOff>
    </xdr:from>
    <xdr:to>
      <xdr:col>11</xdr:col>
      <xdr:colOff>83344</xdr:colOff>
      <xdr:row>6</xdr:row>
      <xdr:rowOff>182691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20EC6AF9-40A5-49CA-B051-AF72562B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182" y="71437"/>
          <a:ext cx="2462212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67356</xdr:rowOff>
    </xdr:from>
    <xdr:to>
      <xdr:col>10</xdr:col>
      <xdr:colOff>581027</xdr:colOff>
      <xdr:row>78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43302-F33D-4635-8450-29B916251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195943</xdr:colOff>
      <xdr:row>63</xdr:row>
      <xdr:rowOff>6122</xdr:rowOff>
    </xdr:from>
    <xdr:to>
      <xdr:col>23</xdr:col>
      <xdr:colOff>466727</xdr:colOff>
      <xdr:row>90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8342FC-5D66-4CB9-93E6-0A5E12A39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321469</xdr:colOff>
      <xdr:row>79</xdr:row>
      <xdr:rowOff>71438</xdr:rowOff>
    </xdr:from>
    <xdr:ext cx="2290763" cy="1061747"/>
    <xdr:pic>
      <xdr:nvPicPr>
        <xdr:cNvPr id="4" name="Picture 3">
          <a:extLst>
            <a:ext uri="{FF2B5EF4-FFF2-40B4-BE49-F238E27FC236}">
              <a16:creationId xmlns:a16="http://schemas.microsoft.com/office/drawing/2014/main" id="{29EB12B8-FEC0-4E97-89A5-DC8955906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244" y="15635288"/>
          <a:ext cx="2290763" cy="1061747"/>
        </a:xfrm>
        <a:prstGeom prst="rect">
          <a:avLst/>
        </a:prstGeom>
      </xdr:spPr>
    </xdr:pic>
    <xdr:clientData/>
  </xdr:oneCellAnchor>
  <xdr:twoCellAnchor editAs="oneCell">
    <xdr:from>
      <xdr:col>8</xdr:col>
      <xdr:colOff>202407</xdr:colOff>
      <xdr:row>0</xdr:row>
      <xdr:rowOff>71437</xdr:rowOff>
    </xdr:from>
    <xdr:to>
      <xdr:col>11</xdr:col>
      <xdr:colOff>83344</xdr:colOff>
      <xdr:row>6</xdr:row>
      <xdr:rowOff>182691</xdr:rowOff>
    </xdr:to>
    <xdr:pic>
      <xdr:nvPicPr>
        <xdr:cNvPr id="5" name="x_x_Picture 1">
          <a:extLst>
            <a:ext uri="{FF2B5EF4-FFF2-40B4-BE49-F238E27FC236}">
              <a16:creationId xmlns:a16="http://schemas.microsoft.com/office/drawing/2014/main" id="{1A3CBB39-7F46-48FA-978D-80BAB95DB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182" y="71437"/>
          <a:ext cx="2462212" cy="1254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/Dynamic%20Modulus%20Mastercurve%20Templates_Updated%20Aug%202025.xlsx" TargetMode="External"/><Relationship Id="rId2" Type="http://schemas.openxmlformats.org/officeDocument/2006/relationships/externalLinkPath" Target="file:///C:\Users\tayloa3\Desktop\Dynamic%20Modulus%20Mastercurve%20Templates_Updated%20Aug%202025.xlsx" TargetMode="External"/><Relationship Id="rId1" Type="http://schemas.openxmlformats.org/officeDocument/2006/relationships/externalLinkPath" Target="/Users/tayloa3/Desktop/Dynamic%20Modulus%20Mastercurve%20Templates_Updated%20Aug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rge Specimen_with 0.01 Hz"/>
      <sheetName val="Small Specimen_no 0.01 Hz"/>
      <sheetName val="Small Specimen_with 0.01 Hz"/>
    </sheetNames>
    <sheetDataSet>
      <sheetData sheetId="0" refreshError="1"/>
      <sheetData sheetId="1">
        <row r="23">
          <cell r="A23">
            <v>4</v>
          </cell>
        </row>
        <row r="26">
          <cell r="A26">
            <v>20</v>
          </cell>
        </row>
        <row r="28">
          <cell r="O28">
            <v>996.36091421602998</v>
          </cell>
          <cell r="P28">
            <v>17.116666666666667</v>
          </cell>
          <cell r="W28">
            <v>10.123244330675199</v>
          </cell>
        </row>
        <row r="29">
          <cell r="A29">
            <v>40</v>
          </cell>
          <cell r="O29">
            <v>1417.0670462703699</v>
          </cell>
          <cell r="P29">
            <v>12.896666666666667</v>
          </cell>
          <cell r="W29">
            <v>101.23244330675206</v>
          </cell>
        </row>
        <row r="30">
          <cell r="O30">
            <v>1863.15478247646</v>
          </cell>
          <cell r="P30">
            <v>9.8333333333333339</v>
          </cell>
          <cell r="W30">
            <v>1012.3244330675209</v>
          </cell>
        </row>
        <row r="31">
          <cell r="O31">
            <v>271.31726190403998</v>
          </cell>
          <cell r="P31">
            <v>31.850000000000005</v>
          </cell>
          <cell r="W31">
            <v>0.1</v>
          </cell>
        </row>
        <row r="32">
          <cell r="O32">
            <v>529.82285695053008</v>
          </cell>
          <cell r="P32">
            <v>26.023333333333337</v>
          </cell>
          <cell r="W32">
            <v>1</v>
          </cell>
        </row>
        <row r="33">
          <cell r="O33">
            <v>916.5418123978601</v>
          </cell>
          <cell r="P33">
            <v>19.306666666666668</v>
          </cell>
          <cell r="W33">
            <v>10</v>
          </cell>
        </row>
        <row r="34">
          <cell r="O34">
            <v>55.046656166062007</v>
          </cell>
          <cell r="P34">
            <v>25.743333333333336</v>
          </cell>
          <cell r="W34">
            <v>6.0466802584617626E-4</v>
          </cell>
        </row>
        <row r="35">
          <cell r="O35">
            <v>107.74370097636201</v>
          </cell>
          <cell r="P35">
            <v>30.59</v>
          </cell>
          <cell r="W35">
            <v>6.0466802584617646E-3</v>
          </cell>
        </row>
        <row r="36">
          <cell r="O36">
            <v>247.53107287039998</v>
          </cell>
          <cell r="P36">
            <v>31.17</v>
          </cell>
          <cell r="W36">
            <v>6.046680258461766E-2</v>
          </cell>
        </row>
        <row r="48">
          <cell r="M48">
            <v>1000000</v>
          </cell>
          <cell r="O48">
            <v>2783.6760212480435</v>
          </cell>
        </row>
        <row r="49">
          <cell r="M49">
            <v>100000</v>
          </cell>
          <cell r="O49">
            <v>2577.5951673309191</v>
          </cell>
        </row>
        <row r="50">
          <cell r="M50">
            <v>10000</v>
          </cell>
          <cell r="O50">
            <v>2281.5823177246384</v>
          </cell>
        </row>
        <row r="51">
          <cell r="M51">
            <v>1000</v>
          </cell>
          <cell r="O51">
            <v>1887.6109968490061</v>
          </cell>
        </row>
        <row r="52">
          <cell r="M52">
            <v>100</v>
          </cell>
          <cell r="O52">
            <v>1418.9494777138025</v>
          </cell>
        </row>
        <row r="53">
          <cell r="M53">
            <v>10</v>
          </cell>
          <cell r="O53">
            <v>941.79540945370729</v>
          </cell>
        </row>
        <row r="54">
          <cell r="M54">
            <v>1</v>
          </cell>
          <cell r="O54">
            <v>543.10986387016089</v>
          </cell>
        </row>
        <row r="55">
          <cell r="M55">
            <v>0.1</v>
          </cell>
          <cell r="O55">
            <v>276.17702648887121</v>
          </cell>
        </row>
        <row r="56">
          <cell r="M56">
            <v>0.01</v>
          </cell>
          <cell r="O56">
            <v>131.05018738345959</v>
          </cell>
        </row>
        <row r="57">
          <cell r="M57">
            <v>1E-3</v>
          </cell>
          <cell r="O57">
            <v>63.176393381140898</v>
          </cell>
        </row>
        <row r="58">
          <cell r="M58">
            <v>1E-4</v>
          </cell>
          <cell r="O58">
            <v>33.457539216039102</v>
          </cell>
        </row>
        <row r="59">
          <cell r="M59">
            <v>1.0000000000000001E-5</v>
          </cell>
          <cell r="O59">
            <v>20.293753854054653</v>
          </cell>
        </row>
        <row r="60">
          <cell r="M60">
            <v>9.9999999999999995E-7</v>
          </cell>
          <cell r="O60">
            <v>14.122377643615518</v>
          </cell>
        </row>
      </sheetData>
      <sheetData sheetId="2">
        <row r="23">
          <cell r="A23">
            <v>4</v>
          </cell>
        </row>
        <row r="26">
          <cell r="A26">
            <v>20</v>
          </cell>
        </row>
        <row r="28">
          <cell r="O28">
            <v>1354.6524730133999</v>
          </cell>
          <cell r="P28">
            <v>15.300000000000002</v>
          </cell>
          <cell r="W28">
            <v>11.895234614067123</v>
          </cell>
        </row>
        <row r="29">
          <cell r="O29">
            <v>1865.2336567212699</v>
          </cell>
          <cell r="P29">
            <v>11.44</v>
          </cell>
          <cell r="W29">
            <v>118.95234614067121</v>
          </cell>
        </row>
        <row r="30">
          <cell r="A30">
            <v>40</v>
          </cell>
          <cell r="O30">
            <v>2379.00567066536</v>
          </cell>
          <cell r="P30">
            <v>8.7133333333333347</v>
          </cell>
          <cell r="W30">
            <v>1189.5234614067124</v>
          </cell>
        </row>
        <row r="31">
          <cell r="O31">
            <v>435.06486811732998</v>
          </cell>
          <cell r="P31">
            <v>27.223333333333333</v>
          </cell>
          <cell r="W31">
            <v>0.1</v>
          </cell>
        </row>
        <row r="32">
          <cell r="O32">
            <v>769.76362153174011</v>
          </cell>
          <cell r="P32">
            <v>22.58</v>
          </cell>
          <cell r="W32">
            <v>1</v>
          </cell>
        </row>
        <row r="33">
          <cell r="O33">
            <v>1223.1999364636699</v>
          </cell>
          <cell r="P33">
            <v>17.613333333333333</v>
          </cell>
          <cell r="W33">
            <v>10</v>
          </cell>
        </row>
        <row r="34">
          <cell r="O34">
            <v>40.620235825333999</v>
          </cell>
          <cell r="P34">
            <v>18.45</v>
          </cell>
          <cell r="W34">
            <v>5.0584460568851539E-5</v>
          </cell>
        </row>
        <row r="35">
          <cell r="O35">
            <v>73.790366508220998</v>
          </cell>
          <cell r="P35">
            <v>25.73</v>
          </cell>
          <cell r="W35">
            <v>5.0584460568851592E-4</v>
          </cell>
        </row>
        <row r="36">
          <cell r="O36">
            <v>164.376103078</v>
          </cell>
          <cell r="P36">
            <v>29.603333333333335</v>
          </cell>
          <cell r="W36">
            <v>5.0584460568851601E-3</v>
          </cell>
        </row>
        <row r="37">
          <cell r="O37">
            <v>357.71140784533003</v>
          </cell>
          <cell r="P37">
            <v>29.849999999999998</v>
          </cell>
          <cell r="W37">
            <v>5.0584460568851637E-2</v>
          </cell>
        </row>
        <row r="48">
          <cell r="M48">
            <v>1000000</v>
          </cell>
          <cell r="O48">
            <v>2948.751852025518</v>
          </cell>
        </row>
        <row r="49">
          <cell r="M49">
            <v>100000</v>
          </cell>
          <cell r="O49">
            <v>2802.8857387636103</v>
          </cell>
        </row>
        <row r="50">
          <cell r="M50">
            <v>10000</v>
          </cell>
          <cell r="O50">
            <v>2576.7797495731907</v>
          </cell>
        </row>
        <row r="51">
          <cell r="M51">
            <v>1000</v>
          </cell>
          <cell r="O51">
            <v>2246.3155032138125</v>
          </cell>
        </row>
        <row r="52">
          <cell r="M52">
            <v>100</v>
          </cell>
          <cell r="O52">
            <v>1805.8359239760755</v>
          </cell>
        </row>
        <row r="53">
          <cell r="M53">
            <v>10</v>
          </cell>
          <cell r="O53">
            <v>1294.0048824852079</v>
          </cell>
        </row>
        <row r="54">
          <cell r="M54">
            <v>1</v>
          </cell>
          <cell r="O54">
            <v>801.84919029631146</v>
          </cell>
        </row>
        <row r="55">
          <cell r="M55">
            <v>0.1</v>
          </cell>
          <cell r="O55">
            <v>427.10063016423396</v>
          </cell>
        </row>
        <row r="56">
          <cell r="M56">
            <v>0.01</v>
          </cell>
          <cell r="O56">
            <v>203.693153617734</v>
          </cell>
        </row>
        <row r="57">
          <cell r="M57">
            <v>1E-3</v>
          </cell>
          <cell r="O57">
            <v>94.984193075858741</v>
          </cell>
        </row>
        <row r="58">
          <cell r="M58">
            <v>1E-4</v>
          </cell>
          <cell r="O58">
            <v>47.808203444314358</v>
          </cell>
        </row>
        <row r="59">
          <cell r="M59">
            <v>1.0000000000000001E-5</v>
          </cell>
          <cell r="O59">
            <v>27.681052123897974</v>
          </cell>
        </row>
        <row r="60">
          <cell r="M60">
            <v>9.9999999999999995E-7</v>
          </cell>
          <cell r="O60">
            <v>18.666351710178787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54BA-0F76-4206-A87E-A2332F9917C2}">
  <dimension ref="A1:CJ115"/>
  <sheetViews>
    <sheetView tabSelected="1" view="pageBreakPreview" topLeftCell="A10" zoomScale="80" zoomScaleNormal="70" zoomScaleSheetLayoutView="80" workbookViewId="0">
      <selection activeCell="K41" sqref="K41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9.42578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98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2.6469999999999998</v>
      </c>
      <c r="F14" s="8" t="s">
        <v>14</v>
      </c>
      <c r="G14" s="60" t="s">
        <v>95</v>
      </c>
      <c r="H14" s="16">
        <v>7.2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5.54</v>
      </c>
      <c r="F15" s="8" t="s">
        <v>24</v>
      </c>
      <c r="G15" s="60" t="s">
        <v>96</v>
      </c>
      <c r="H15" s="16">
        <v>6.9</v>
      </c>
      <c r="M15" s="4" t="str">
        <f t="shared" ref="M15:N17" si="0">G14</f>
        <v>6B</v>
      </c>
      <c r="N15" s="18">
        <f t="shared" si="0"/>
        <v>7.2</v>
      </c>
      <c r="O15" s="4">
        <f>$B$14</f>
        <v>2.6469999999999998</v>
      </c>
      <c r="P15" s="20">
        <f>$B$15</f>
        <v>5.54</v>
      </c>
      <c r="Q15" s="21">
        <f>$B$16</f>
        <v>2.4689999999999999</v>
      </c>
      <c r="R15" s="21">
        <f t="shared" ref="R15:R17" si="1">((Q15*(N15-100))/-100)</f>
        <v>2.2912319999999995</v>
      </c>
      <c r="S15" s="18">
        <f t="shared" ref="S15:S17" si="2">100-((R15*(100-P15))/O15)</f>
        <v>18.235823679637349</v>
      </c>
      <c r="T15" s="18">
        <f t="shared" ref="T15:T17" si="3">100*((S15-N15)/S15)</f>
        <v>60.517275630166743</v>
      </c>
      <c r="U15" s="18"/>
      <c r="W15" s="18"/>
    </row>
    <row r="16" spans="1:23" x14ac:dyDescent="0.25">
      <c r="A16" s="8" t="s">
        <v>25</v>
      </c>
      <c r="B16" s="22">
        <v>2.4689999999999999</v>
      </c>
      <c r="F16" s="8" t="s">
        <v>26</v>
      </c>
      <c r="G16" s="60" t="s">
        <v>97</v>
      </c>
      <c r="H16" s="16">
        <v>6.7</v>
      </c>
      <c r="M16" s="4" t="str">
        <f t="shared" si="0"/>
        <v>6C</v>
      </c>
      <c r="N16" s="18">
        <f t="shared" si="0"/>
        <v>6.9</v>
      </c>
      <c r="O16" s="4">
        <f t="shared" ref="O16:O17" si="4">$B$14</f>
        <v>2.6469999999999998</v>
      </c>
      <c r="P16" s="20">
        <f t="shared" ref="P16:P17" si="5">$B$15</f>
        <v>5.54</v>
      </c>
      <c r="Q16" s="21">
        <f t="shared" ref="Q16:Q17" si="6">$B$16</f>
        <v>2.4689999999999999</v>
      </c>
      <c r="R16" s="21">
        <f t="shared" si="1"/>
        <v>2.2986389999999997</v>
      </c>
      <c r="S16" s="18">
        <f t="shared" si="2"/>
        <v>17.971499833774104</v>
      </c>
      <c r="T16" s="18">
        <f t="shared" si="3"/>
        <v>61.605875615163022</v>
      </c>
      <c r="U16" s="18"/>
    </row>
    <row r="17" spans="1:88" x14ac:dyDescent="0.25">
      <c r="A17" s="8" t="s">
        <v>21</v>
      </c>
      <c r="B17" s="23">
        <f>AVERAGE(S15:S17)</f>
        <v>18.000869149981128</v>
      </c>
      <c r="M17" s="4" t="str">
        <f t="shared" si="0"/>
        <v>7A</v>
      </c>
      <c r="N17" s="18">
        <f t="shared" si="0"/>
        <v>6.7</v>
      </c>
      <c r="O17" s="4">
        <f t="shared" si="4"/>
        <v>2.6469999999999998</v>
      </c>
      <c r="P17" s="20">
        <f t="shared" si="5"/>
        <v>5.54</v>
      </c>
      <c r="Q17" s="21">
        <f t="shared" si="6"/>
        <v>2.4689999999999999</v>
      </c>
      <c r="R17" s="21">
        <f t="shared" si="1"/>
        <v>2.3035769999999998</v>
      </c>
      <c r="S17" s="18">
        <f t="shared" si="2"/>
        <v>17.795283936531931</v>
      </c>
      <c r="T17" s="18">
        <f t="shared" si="3"/>
        <v>62.349575180165729</v>
      </c>
    </row>
    <row r="18" spans="1:88" x14ac:dyDescent="0.25">
      <c r="A18" s="8" t="s">
        <v>22</v>
      </c>
      <c r="B18" s="23">
        <f>AVERAGE(T15:T17)</f>
        <v>61.490908808498496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1238.3322071293801</v>
      </c>
      <c r="D23" s="16">
        <v>13.27</v>
      </c>
      <c r="E23" s="16">
        <v>1332.02658588384</v>
      </c>
      <c r="F23" s="16">
        <v>13.37</v>
      </c>
      <c r="G23" s="16">
        <v>1418.7591532138199</v>
      </c>
      <c r="H23" s="16">
        <v>11.23</v>
      </c>
      <c r="M23" s="4">
        <v>20</v>
      </c>
      <c r="N23" s="29">
        <f>(20+(B18*3*145000)/(B17))^0.58/(650+((B18*3*145000)/B17)^0.58)</f>
        <v>0.85393358822384491</v>
      </c>
      <c r="O23" s="18">
        <f>(N23*(4200000*(1-B17/100)+3*145000*(B17*B18)/10000)+(1-N23)/((1-B17/100)/4200000+B17/(3*B18*145000)))/1000</f>
        <v>3150.272820769751</v>
      </c>
      <c r="P23" s="29">
        <f>LOG10(O23)</f>
        <v>3.4983481663052158</v>
      </c>
      <c r="R23" s="30">
        <f>(1/6*T37)^0.5</f>
        <v>1.829433668457444E-2</v>
      </c>
      <c r="S23" s="30">
        <f>1-R23^2/Q37^2*12/6</f>
        <v>0.99682255577245404</v>
      </c>
      <c r="T23" s="30">
        <f>(1-8*R23^2/9*Q37^2)</f>
        <v>0.9999373290602741</v>
      </c>
    </row>
    <row r="24" spans="1:88" x14ac:dyDescent="0.25">
      <c r="A24" s="8">
        <v>4</v>
      </c>
      <c r="B24" s="23">
        <v>1</v>
      </c>
      <c r="C24" s="16">
        <v>1630.6592884464301</v>
      </c>
      <c r="D24" s="16">
        <v>10.76</v>
      </c>
      <c r="E24" s="16">
        <v>1728.8498370791999</v>
      </c>
      <c r="F24" s="16">
        <v>10.25</v>
      </c>
      <c r="G24" s="16">
        <v>1796.0023097778301</v>
      </c>
      <c r="H24" s="16">
        <v>9.41</v>
      </c>
    </row>
    <row r="25" spans="1:88" x14ac:dyDescent="0.25">
      <c r="A25" s="8">
        <v>4</v>
      </c>
      <c r="B25" s="23">
        <v>10</v>
      </c>
      <c r="C25" s="16">
        <v>2066.20761569046</v>
      </c>
      <c r="D25" s="16">
        <v>8.92</v>
      </c>
      <c r="E25" s="16">
        <v>2185.1385608586602</v>
      </c>
      <c r="F25" s="16">
        <v>8.5399999999999991</v>
      </c>
      <c r="G25" s="16">
        <v>2216.0315990547901</v>
      </c>
      <c r="H25" s="16">
        <v>8.0299999999999994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400.73927012163</v>
      </c>
      <c r="D26" s="16">
        <v>24.11</v>
      </c>
      <c r="E26" s="16">
        <v>427.86132712950001</v>
      </c>
      <c r="F26" s="16">
        <v>23</v>
      </c>
      <c r="G26" s="16">
        <v>524.89157385818999</v>
      </c>
      <c r="H26" s="16">
        <v>21.52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672.83006662839</v>
      </c>
      <c r="D27" s="16">
        <v>20.38</v>
      </c>
      <c r="E27" s="16">
        <v>709.95972755895002</v>
      </c>
      <c r="F27" s="16">
        <v>19.690000000000001</v>
      </c>
      <c r="G27" s="16">
        <v>823.81435189679996</v>
      </c>
      <c r="H27" s="16">
        <v>17.59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1042.96637402991</v>
      </c>
      <c r="D28" s="16">
        <v>16.34</v>
      </c>
      <c r="E28" s="16">
        <v>1085.89754448087</v>
      </c>
      <c r="F28" s="16">
        <v>15.79</v>
      </c>
      <c r="G28" s="16">
        <v>1205.4086406011099</v>
      </c>
      <c r="H28" s="16">
        <v>14.18</v>
      </c>
      <c r="I28" s="3"/>
      <c r="J28" s="3"/>
      <c r="K28" s="3"/>
      <c r="L28" s="3"/>
      <c r="M28" s="32">
        <f t="shared" ref="M28:N36" si="7">A23</f>
        <v>4</v>
      </c>
      <c r="N28" s="32">
        <f t="shared" si="7"/>
        <v>0.1</v>
      </c>
      <c r="O28" s="33">
        <f>C40</f>
        <v>1329.7059820756799</v>
      </c>
      <c r="P28" s="33">
        <f>E40</f>
        <v>12.623333333333335</v>
      </c>
      <c r="Q28" s="34">
        <f>LOG10(O28)</f>
        <v>3.1237556225624248</v>
      </c>
      <c r="R28" s="34">
        <f t="shared" ref="R28:R33" si="8">$N$42+($P$23-$N$42)/(1+EXP($O$42+$P$42*(LOG10(N28)+$Q$42/19.147142*(1/(273.2+M28)-1/($M$23+273.2)))))</f>
        <v>3.1026805030125435</v>
      </c>
      <c r="S28" s="34">
        <f>Q28-R28</f>
        <v>2.1075119549881283E-2</v>
      </c>
      <c r="T28" s="35">
        <f>S28^2</f>
        <v>4.4416066404178822E-4</v>
      </c>
      <c r="U28" s="34">
        <f>$Q$42/19.147143*(1/(M28+273.15)-1/($M$23+273.15))</f>
        <v>2.2061038727800124</v>
      </c>
      <c r="V28" s="34">
        <f>LOG10(N28)+U28</f>
        <v>1.2061038727800124</v>
      </c>
      <c r="W28" s="34">
        <f>10^V28</f>
        <v>16.073256406234332</v>
      </c>
    </row>
    <row r="29" spans="1:88" s="4" customFormat="1" x14ac:dyDescent="0.25">
      <c r="A29" s="15">
        <v>40</v>
      </c>
      <c r="B29" s="23">
        <v>0.1</v>
      </c>
      <c r="C29" s="16">
        <v>81.07609554759</v>
      </c>
      <c r="D29" s="16">
        <v>27.63</v>
      </c>
      <c r="E29" s="16">
        <v>84.716542771641002</v>
      </c>
      <c r="F29" s="16">
        <v>28.63</v>
      </c>
      <c r="G29" s="16">
        <v>117.10346966927399</v>
      </c>
      <c r="H29" s="16">
        <v>27.87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1718.5038117678203</v>
      </c>
      <c r="P29" s="33">
        <f>E39</f>
        <v>10.139999999999999</v>
      </c>
      <c r="Q29" s="34">
        <f t="shared" ref="Q29:Q33" si="9">LOG10(O29)</f>
        <v>3.2351504997714082</v>
      </c>
      <c r="R29" s="34">
        <f t="shared" si="8"/>
        <v>3.2304792065626948</v>
      </c>
      <c r="S29" s="34">
        <f t="shared" ref="S29:S33" si="10">Q29-R29</f>
        <v>4.6712932087134007E-3</v>
      </c>
      <c r="T29" s="35">
        <f t="shared" ref="T29:T33" si="11">S29^2</f>
        <v>2.182098024177194E-5</v>
      </c>
      <c r="U29" s="34">
        <f t="shared" ref="U29:U33" si="12">$Q$42/19.147143*(1/(M29+273.15)-1/($M$23+273.15))</f>
        <v>2.2061038727800124</v>
      </c>
      <c r="V29" s="34">
        <f t="shared" ref="V29:V33" si="13">LOG10(N29)+U29</f>
        <v>2.2061038727800124</v>
      </c>
      <c r="W29" s="34">
        <f t="shared" ref="W29:W33" si="14">10^V29</f>
        <v>160.7325640623433</v>
      </c>
    </row>
    <row r="30" spans="1:88" s="4" customFormat="1" x14ac:dyDescent="0.25">
      <c r="A30" s="15">
        <v>40</v>
      </c>
      <c r="B30" s="23">
        <v>1</v>
      </c>
      <c r="C30" s="16">
        <v>164.18271942732</v>
      </c>
      <c r="D30" s="16">
        <v>28.87</v>
      </c>
      <c r="E30" s="16">
        <v>170.70941763777</v>
      </c>
      <c r="F30" s="16">
        <v>29.32</v>
      </c>
      <c r="G30" s="16">
        <v>222.48789010734001</v>
      </c>
      <c r="H30" s="16">
        <v>26.84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2155.7925918679703</v>
      </c>
      <c r="P30" s="33">
        <f>E38</f>
        <v>8.4966666666666679</v>
      </c>
      <c r="Q30" s="34">
        <f t="shared" si="9"/>
        <v>3.3336069751880752</v>
      </c>
      <c r="R30" s="34">
        <f t="shared" si="8"/>
        <v>3.3204054046775942</v>
      </c>
      <c r="S30" s="34">
        <f t="shared" si="10"/>
        <v>1.3201570510481098E-2</v>
      </c>
      <c r="T30" s="35">
        <f t="shared" si="11"/>
        <v>1.7428146394320415E-4</v>
      </c>
      <c r="U30" s="34">
        <f t="shared" si="12"/>
        <v>2.2061038727800124</v>
      </c>
      <c r="V30" s="34">
        <f t="shared" si="13"/>
        <v>3.2061038727800124</v>
      </c>
      <c r="W30" s="34">
        <f t="shared" si="14"/>
        <v>1607.3256406234332</v>
      </c>
    </row>
    <row r="31" spans="1:88" s="4" customFormat="1" x14ac:dyDescent="0.25">
      <c r="A31" s="15">
        <v>40</v>
      </c>
      <c r="B31" s="23">
        <v>10</v>
      </c>
      <c r="C31" s="16">
        <v>330.83108040080998</v>
      </c>
      <c r="D31" s="16">
        <v>26.72</v>
      </c>
      <c r="E31" s="16">
        <v>339.82342015743001</v>
      </c>
      <c r="F31" s="16">
        <v>26.65</v>
      </c>
      <c r="G31" s="16">
        <v>410.89191178233</v>
      </c>
      <c r="H31" s="16">
        <v>24.15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451.16405703644</v>
      </c>
      <c r="P31" s="33">
        <f>E43</f>
        <v>22.876666666666665</v>
      </c>
      <c r="Q31" s="34">
        <f t="shared" si="9"/>
        <v>2.6543344933411626</v>
      </c>
      <c r="R31" s="34">
        <f t="shared" si="8"/>
        <v>2.6562789220405811</v>
      </c>
      <c r="S31" s="34">
        <f t="shared" si="10"/>
        <v>-1.9444286994185767E-3</v>
      </c>
      <c r="T31" s="35">
        <f t="shared" si="11"/>
        <v>3.7808029671226175E-6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735.53471536137988</v>
      </c>
      <c r="P32" s="33">
        <f>E42</f>
        <v>19.22</v>
      </c>
      <c r="Q32" s="34">
        <f t="shared" si="9"/>
        <v>2.8666031751384482</v>
      </c>
      <c r="R32" s="34">
        <f t="shared" si="8"/>
        <v>2.8874184913763949</v>
      </c>
      <c r="S32" s="34">
        <f t="shared" si="10"/>
        <v>-2.0815316237946746E-2</v>
      </c>
      <c r="T32" s="35">
        <f t="shared" si="11"/>
        <v>4.3327739008572948E-4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1111.42418637063</v>
      </c>
      <c r="P33" s="33">
        <f>E41</f>
        <v>15.436666666666666</v>
      </c>
      <c r="Q33" s="34">
        <f t="shared" si="9"/>
        <v>3.0458798434957965</v>
      </c>
      <c r="R33" s="34">
        <f t="shared" si="8"/>
        <v>3.0709673046526826</v>
      </c>
      <c r="S33" s="34">
        <f t="shared" si="10"/>
        <v>-2.5087461156886093E-2</v>
      </c>
      <c r="T33" s="35">
        <f t="shared" si="11"/>
        <v>6.2938070729826848E-4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0.1</v>
      </c>
      <c r="O34" s="33">
        <f>C46</f>
        <v>94.298702662834998</v>
      </c>
      <c r="P34" s="33">
        <f>E46</f>
        <v>28.043333333333333</v>
      </c>
      <c r="Q34" s="34">
        <f>LOG10(O34)</f>
        <v>1.9745057178672578</v>
      </c>
      <c r="R34" s="34">
        <f>$N$42+($P$23-$N$42)/(1+EXP($O$42+$P$42*(LOG10(N34)+$Q$42/19.147142*(1/(273.2+M34)-1/($M$23+273.2)))))</f>
        <v>1.9803600050086634</v>
      </c>
      <c r="S34" s="34">
        <f>Q34-R34</f>
        <v>-5.8542871414055675E-3</v>
      </c>
      <c r="T34" s="35">
        <f>S34^2</f>
        <v>3.427267793402657E-5</v>
      </c>
      <c r="U34" s="34">
        <f>$Q$42/19.147143*(1/(M34+273.15)-1/($M$23+273.15))</f>
        <v>-2.4406102839732617</v>
      </c>
      <c r="V34" s="34">
        <f>LOG10(N34)+U34</f>
        <v>-3.4406102839732617</v>
      </c>
      <c r="W34" s="34">
        <f>10^V34</f>
        <v>3.6256820462469795E-4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1</v>
      </c>
      <c r="O35" s="33">
        <f>C45</f>
        <v>185.79334239081001</v>
      </c>
      <c r="P35" s="33">
        <f>E45</f>
        <v>28.343333333333334</v>
      </c>
      <c r="Q35" s="34">
        <f>LOG10(O35)</f>
        <v>2.2690301476837966</v>
      </c>
      <c r="R35" s="34">
        <f>$N$42+($P$23-$N$42)/(1+EXP($O$42+$P$42*(LOG10(N35)+$Q$42/19.147142*(1/(273.2+M35)-1/($M$23+273.2)))))</f>
        <v>2.2630195724718765</v>
      </c>
      <c r="S35" s="34">
        <f>Q35-R35</f>
        <v>6.0105752119201661E-3</v>
      </c>
      <c r="T35" s="35">
        <f>S35^2</f>
        <v>3.6127014378149152E-5</v>
      </c>
      <c r="U35" s="34">
        <f>$Q$42/19.147143*(1/(M35+273.15)-1/($M$23+273.15))</f>
        <v>-2.4406102839732617</v>
      </c>
      <c r="V35" s="34">
        <f>LOG10(N35)+U35</f>
        <v>-2.4406102839732617</v>
      </c>
      <c r="W35" s="34">
        <f>10^V35</f>
        <v>3.6256820462469809E-3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10</v>
      </c>
      <c r="O36" s="33">
        <f>C44</f>
        <v>360.51547078019001</v>
      </c>
      <c r="P36" s="33">
        <f>E44</f>
        <v>25.84</v>
      </c>
      <c r="Q36" s="34">
        <f>LOG10(O36)</f>
        <v>2.5569239063100992</v>
      </c>
      <c r="R36" s="34">
        <f>$N$42+($P$23-$N$42)/(1+EXP($O$42+$P$42*(LOG10(N36)+$Q$42/19.147142*(1/(273.2+M36)-1/($M$23+273.2)))))</f>
        <v>2.5417253923208523</v>
      </c>
      <c r="S36" s="34">
        <f>Q36-R36</f>
        <v>1.5198513989246987E-2</v>
      </c>
      <c r="T36" s="35">
        <f>S36^2</f>
        <v>2.3099482748133635E-4</v>
      </c>
      <c r="U36" s="34">
        <f>$Q$42/19.147143*(1/(M36+273.15)-1/($M$23+273.15))</f>
        <v>-2.4406102839732617</v>
      </c>
      <c r="V36" s="34">
        <f>LOG10(N36)+U36</f>
        <v>-1.4406102839732617</v>
      </c>
      <c r="W36" s="34">
        <f>10^V36</f>
        <v>3.6256820462469815E-2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P37" s="32" t="s">
        <v>68</v>
      </c>
      <c r="Q37" s="35">
        <f>STDEV(Q28:Q36)</f>
        <v>0.45897887504014317</v>
      </c>
      <c r="S37" s="32" t="s">
        <v>69</v>
      </c>
      <c r="T37" s="35">
        <f>SUM(T28:T36)</f>
        <v>2.008096528371397E-3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2155.7925918679703</v>
      </c>
      <c r="D38" s="23">
        <f>(STDEV(C25,E25,G25)/C38)*100</f>
        <v>3.669443901925499</v>
      </c>
      <c r="E38" s="23">
        <f>AVERAGE(D25,F25,H25)</f>
        <v>8.4966666666666679</v>
      </c>
      <c r="F38" s="23">
        <f>STDEV(D25,F25,H25)</f>
        <v>0.44657959350303228</v>
      </c>
      <c r="G38" s="3"/>
      <c r="H38" s="3"/>
      <c r="I38" s="26" t="s">
        <v>32</v>
      </c>
      <c r="J38" s="8">
        <v>20</v>
      </c>
      <c r="K38" s="3"/>
      <c r="L38" s="3"/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1718.5038117678203</v>
      </c>
      <c r="D39" s="23">
        <f>(STDEV(C24,E24,G24)/C39)*100</f>
        <v>4.8388388643910218</v>
      </c>
      <c r="E39" s="23">
        <f>AVERAGE(D24,F24,H24)</f>
        <v>10.139999999999999</v>
      </c>
      <c r="F39" s="23">
        <f>STDEV(D24,F24,H24)</f>
        <v>0.68168907868617035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1329.7059820756799</v>
      </c>
      <c r="D40" s="23">
        <f>(STDEV(C23,E23,G23)/C40)*100</f>
        <v>6.7861509783155887</v>
      </c>
      <c r="E40" s="23">
        <f>AVERAGE(D23,F23,H23)</f>
        <v>12.623333333333335</v>
      </c>
      <c r="F40" s="23">
        <f>STDEV(D23,F23,H23)</f>
        <v>1.2076975338773082</v>
      </c>
      <c r="G40" s="3"/>
      <c r="H40" s="3"/>
      <c r="I40" s="12" t="s">
        <v>94</v>
      </c>
      <c r="J40" s="59">
        <f>G115</f>
        <v>7233.8313900363673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1111.42418637063</v>
      </c>
      <c r="D41" s="23">
        <f>(STDEV(C28,E28,G28)/C41)*100</f>
        <v>7.5736956062601335</v>
      </c>
      <c r="E41" s="23">
        <f>AVERAGE(D28,F28,H28)</f>
        <v>15.436666666666666</v>
      </c>
      <c r="F41" s="23">
        <f>STDEV(D28,F28,H28)</f>
        <v>1.1225120637807566</v>
      </c>
      <c r="G41" s="3"/>
      <c r="H41" s="3"/>
      <c r="I41" s="69" t="s">
        <v>35</v>
      </c>
      <c r="J41" s="62">
        <f>AVERAGE(E41:E42)</f>
        <v>17.328333333333333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735.53471536137988</v>
      </c>
      <c r="D42" s="23">
        <f>(STDEV(C27,E27,G27)/C42)*100</f>
        <v>10.696185958519241</v>
      </c>
      <c r="E42" s="23">
        <f>AVERAGE(D27,F27,H27)</f>
        <v>19.22</v>
      </c>
      <c r="F42" s="23">
        <f>STDEV(D27,F27,H27)</f>
        <v>1.4531689509482371</v>
      </c>
      <c r="G42" s="3"/>
      <c r="H42" s="3"/>
      <c r="I42" s="32" t="s">
        <v>105</v>
      </c>
      <c r="J42" s="70">
        <f>(COS(RADIANS(J41)))^2</f>
        <v>0.91128717863850905</v>
      </c>
      <c r="K42" s="3"/>
      <c r="L42" s="3"/>
      <c r="M42" s="38" t="s">
        <v>78</v>
      </c>
      <c r="N42" s="39">
        <f>N43</f>
        <v>0.94604012956834926</v>
      </c>
      <c r="O42" s="39">
        <f>O43*-1</f>
        <v>-1.1561716413209755</v>
      </c>
      <c r="P42" s="39">
        <f>P43*-1</f>
        <v>-0.4476456055580475</v>
      </c>
      <c r="Q42" s="40">
        <f>Q43*200000</f>
        <v>214493.79670406805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451.16405703644</v>
      </c>
      <c r="D43" s="23">
        <f>(STDEV(C26,E26,G26)/C43)*100</f>
        <v>14.467935808941371</v>
      </c>
      <c r="E43" s="23">
        <f>AVERAGE(D26,F26,H26)</f>
        <v>22.876666666666665</v>
      </c>
      <c r="F43" s="23">
        <f>STDEV(D26,F26,H26)</f>
        <v>1.2993972961851712</v>
      </c>
      <c r="G43" s="3"/>
      <c r="H43" s="3"/>
      <c r="I43" s="32" t="s">
        <v>106</v>
      </c>
      <c r="J43" s="70">
        <f>SIN(RADIANS(J41))</f>
        <v>0.29784697641824565</v>
      </c>
      <c r="K43" s="3"/>
      <c r="L43" s="3"/>
      <c r="M43" s="38" t="s">
        <v>80</v>
      </c>
      <c r="N43" s="39">
        <v>0.94604012956834926</v>
      </c>
      <c r="O43" s="39">
        <v>1.1561716413209755</v>
      </c>
      <c r="P43" s="39">
        <v>0.4476456055580475</v>
      </c>
      <c r="Q43" s="41">
        <v>1.0724689835203403</v>
      </c>
      <c r="R43" s="4" t="s">
        <v>81</v>
      </c>
    </row>
    <row r="44" spans="1:23" s="4" customFormat="1" ht="18" x14ac:dyDescent="0.35">
      <c r="A44" s="8">
        <f>A29</f>
        <v>40</v>
      </c>
      <c r="B44" s="23">
        <f>B31</f>
        <v>10</v>
      </c>
      <c r="C44" s="23">
        <f>AVERAGE(C31,E31,G31)</f>
        <v>360.51547078019001</v>
      </c>
      <c r="D44" s="23">
        <f>(STDEV(C31,E31,G31)/C44)*100</f>
        <v>12.165455840985739</v>
      </c>
      <c r="E44" s="23">
        <f>AVERAGE(D31,F31,H31)</f>
        <v>25.84</v>
      </c>
      <c r="F44" s="23">
        <f>STDEV(D31,F31,H31)</f>
        <v>1.4640013661195814</v>
      </c>
      <c r="G44" s="3"/>
      <c r="H44" s="3"/>
      <c r="I44" s="12" t="s">
        <v>107</v>
      </c>
      <c r="J44" s="59">
        <f>(J40*J42)/J43</f>
        <v>22132.498632170449</v>
      </c>
      <c r="K44" s="3"/>
      <c r="L44" s="3"/>
    </row>
    <row r="45" spans="1:23" s="4" customFormat="1" x14ac:dyDescent="0.25">
      <c r="A45" s="8">
        <f>A30</f>
        <v>40</v>
      </c>
      <c r="B45" s="23">
        <f>B30</f>
        <v>1</v>
      </c>
      <c r="C45" s="23">
        <f>AVERAGE(C30,E30,G30)</f>
        <v>185.79334239081001</v>
      </c>
      <c r="D45" s="23">
        <f>(STDEV(C30,E30,G30)/C45)*100</f>
        <v>17.194119317525942</v>
      </c>
      <c r="E45" s="23">
        <f>AVERAGE(D30,F30,H30)</f>
        <v>28.343333333333334</v>
      </c>
      <c r="F45" s="23">
        <f>STDEV(D30,F30,H30)</f>
        <v>1.3212241798170872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8">
        <f>A31</f>
        <v>40</v>
      </c>
      <c r="B46" s="23">
        <f>B29</f>
        <v>0.1</v>
      </c>
      <c r="C46" s="23">
        <f>AVERAGE(C29,E29,G29)</f>
        <v>94.298702662834998</v>
      </c>
      <c r="D46" s="23">
        <f>(STDEV(C29,E29,G29)/C46)*100</f>
        <v>21.032326578279633</v>
      </c>
      <c r="E46" s="23">
        <f>AVERAGE(D29,F29,H29)</f>
        <v>28.043333333333333</v>
      </c>
      <c r="F46" s="23">
        <f>STDEV(D29,F29,H29)</f>
        <v>0.52204725201205016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3.4761792073341784</v>
      </c>
      <c r="O46" s="44">
        <f t="shared" ref="O46" si="17">10^N46</f>
        <v>2993.4996198798017</v>
      </c>
    </row>
    <row r="47" spans="1:23" s="4" customFormat="1" x14ac:dyDescent="0.25">
      <c r="A47" s="3"/>
      <c r="B47" s="45"/>
      <c r="C47" s="24"/>
      <c r="D47" s="24"/>
      <c r="E47" s="24"/>
      <c r="F47" s="24"/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3.4638313574338038</v>
      </c>
      <c r="O47" s="44">
        <f>10^N47</f>
        <v>2909.5870656918255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3.4447515901913452</v>
      </c>
      <c r="O48" s="44">
        <f>10^N48</f>
        <v>2784.5280055625699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3.4154723046537576</v>
      </c>
      <c r="O49" s="44">
        <f t="shared" ref="O49:O62" si="18">10^N49</f>
        <v>2602.9888311631744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3.3710131406536923</v>
      </c>
      <c r="O50" s="44">
        <f t="shared" si="18"/>
        <v>2349.7039158762336</v>
      </c>
    </row>
    <row r="51" spans="1:15" s="4" customFormat="1" x14ac:dyDescent="0.25">
      <c r="A51" s="24">
        <f>O23</f>
        <v>3150.272820769751</v>
      </c>
      <c r="B51" s="45">
        <f>10^N42</f>
        <v>8.8316150231312438</v>
      </c>
      <c r="C51" s="46">
        <f>O42</f>
        <v>-1.1561716413209755</v>
      </c>
      <c r="D51" s="46">
        <f>P42</f>
        <v>-0.4476456055580475</v>
      </c>
      <c r="E51" s="47">
        <f>Q42</f>
        <v>214493.79670406805</v>
      </c>
      <c r="F51" s="48">
        <f>S23</f>
        <v>0.99682255577245404</v>
      </c>
      <c r="G51" s="45">
        <f>R23/Q37</f>
        <v>3.9858777123401121E-2</v>
      </c>
      <c r="H51" s="3"/>
      <c r="I51" s="3"/>
      <c r="J51" s="3"/>
      <c r="K51" s="3"/>
      <c r="L51" s="3"/>
      <c r="M51" s="43">
        <v>1000</v>
      </c>
      <c r="N51" s="21">
        <f t="shared" si="16"/>
        <v>3.3045751431578427</v>
      </c>
      <c r="O51" s="44">
        <f t="shared" si="18"/>
        <v>2016.3928238577746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3.20762840857132</v>
      </c>
      <c r="O52" s="44">
        <f t="shared" si="18"/>
        <v>1612.9778686874517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3.0709673046526826</v>
      </c>
      <c r="O53" s="44">
        <f t="shared" si="18"/>
        <v>1177.517322182488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2.8874184913763949</v>
      </c>
      <c r="O54" s="44">
        <f t="shared" si="18"/>
        <v>771.64667892725322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2.6562789220405811</v>
      </c>
      <c r="O55" s="44">
        <f t="shared" si="18"/>
        <v>453.18854305443438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2.3877182376043078</v>
      </c>
      <c r="O56" s="44">
        <f t="shared" si="18"/>
        <v>244.18458133275027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2.1033687807167065</v>
      </c>
      <c r="O57" s="44">
        <f t="shared" si="18"/>
        <v>126.87287482999464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1.8304431450960781</v>
      </c>
      <c r="O58" s="44">
        <f t="shared" si="18"/>
        <v>67.677318853963897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1.5920728409095419</v>
      </c>
      <c r="O59" s="44">
        <f t="shared" si="18"/>
        <v>39.090645406016122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1.4004461410164861</v>
      </c>
      <c r="O60" s="44">
        <f t="shared" si="18"/>
        <v>25.144681621599528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1.2564055587229332</v>
      </c>
      <c r="O61" s="18">
        <f t="shared" si="18"/>
        <v>18.047022455735821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1.1535085393453453</v>
      </c>
      <c r="O62" s="18">
        <f t="shared" si="18"/>
        <v>14.239952457761722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N1-1 RH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4.3565109073201915</v>
      </c>
      <c r="E85" s="57">
        <f>10^(LOG(C85)+D85)</f>
        <v>568134.17734707671</v>
      </c>
      <c r="F85" s="58">
        <f>10^($N$42+($P$23-$N$42)/(1+EXP($O$42+$P$42*(LOG10(C85)+$Q$42/19.147142*(1/(273.2+A85)-1/($M$23+273.2))))))</f>
        <v>2745.5473663989069</v>
      </c>
      <c r="G85" s="59">
        <f>F85*6.89476</f>
        <v>18929.890159952527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4.3565109073201915</v>
      </c>
      <c r="E86" s="57">
        <f t="shared" ref="E86:E115" si="20">10^(LOG(C86)+D86)</f>
        <v>227253.67093883047</v>
      </c>
      <c r="F86" s="58">
        <f t="shared" ref="F86:F115" si="21">10^($N$42+($P$23-$N$42)/(1+EXP($O$42+$P$42*(LOG10(C86)+$Q$42/19.147142*(1/(273.2+A86)-1/($M$23+273.2))))))</f>
        <v>2674.9059667347897</v>
      </c>
      <c r="G86" s="59">
        <f t="shared" ref="G86:G115" si="22">F86*6.89476</f>
        <v>18442.834663204358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4.3565109073201915</v>
      </c>
      <c r="E87" s="57">
        <f t="shared" si="20"/>
        <v>113626.83546941522</v>
      </c>
      <c r="F87" s="58">
        <f t="shared" si="21"/>
        <v>2614.4822147581967</v>
      </c>
      <c r="G87" s="59">
        <f t="shared" si="22"/>
        <v>18026.227395026224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4.3565109073201915</v>
      </c>
      <c r="E88" s="57">
        <f t="shared" si="20"/>
        <v>22725.367093883062</v>
      </c>
      <c r="F88" s="58">
        <f t="shared" si="21"/>
        <v>2448.5984756551507</v>
      </c>
      <c r="G88" s="59">
        <f t="shared" si="22"/>
        <v>16882.498826008105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4.3565109073201915</v>
      </c>
      <c r="E89" s="57">
        <f t="shared" si="20"/>
        <v>11362.683546941531</v>
      </c>
      <c r="F89" s="58">
        <f t="shared" si="21"/>
        <v>2365.3817741049979</v>
      </c>
      <c r="G89" s="59">
        <f t="shared" si="22"/>
        <v>16308.739640828175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4.3565109073201915</v>
      </c>
      <c r="E90" s="57">
        <f t="shared" si="20"/>
        <v>2272.5367093883056</v>
      </c>
      <c r="F90" s="58">
        <f t="shared" si="21"/>
        <v>2143.7658760091354</v>
      </c>
      <c r="G90" s="59">
        <f t="shared" si="22"/>
        <v>14780.751211272745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2.1413895615984271</v>
      </c>
      <c r="E91" s="57">
        <f t="shared" si="20"/>
        <v>3462.0199825888667</v>
      </c>
      <c r="F91" s="58">
        <f t="shared" si="21"/>
        <v>2205.8192327330403</v>
      </c>
      <c r="G91" s="59">
        <f t="shared" si="22"/>
        <v>15208.594213078457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2.1413895615984271</v>
      </c>
      <c r="E92" s="57">
        <f t="shared" si="20"/>
        <v>1384.8079930355466</v>
      </c>
      <c r="F92" s="58">
        <f t="shared" si="21"/>
        <v>2068.0046690029717</v>
      </c>
      <c r="G92" s="59">
        <f t="shared" si="22"/>
        <v>14258.395871654928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2.1413895615984271</v>
      </c>
      <c r="E93" s="57">
        <f t="shared" si="20"/>
        <v>692.40399651777329</v>
      </c>
      <c r="F93" s="58">
        <f t="shared" si="21"/>
        <v>1955.7840945526734</v>
      </c>
      <c r="G93" s="59">
        <f t="shared" si="22"/>
        <v>13484.66194375799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2.1413895615984271</v>
      </c>
      <c r="E94" s="57">
        <f t="shared" si="20"/>
        <v>138.48079930355465</v>
      </c>
      <c r="F94" s="58">
        <f t="shared" si="21"/>
        <v>1672.8473829910843</v>
      </c>
      <c r="G94" s="59">
        <f t="shared" si="22"/>
        <v>11533.881222351607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2.1413895615984271</v>
      </c>
      <c r="E95" s="57">
        <f t="shared" si="20"/>
        <v>69.240399651777309</v>
      </c>
      <c r="F95" s="58">
        <f t="shared" si="21"/>
        <v>1543.8808693954163</v>
      </c>
      <c r="G95" s="59">
        <f t="shared" si="22"/>
        <v>10644.688063072741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2.1413895615984271</v>
      </c>
      <c r="E96" s="57">
        <f t="shared" si="20"/>
        <v>13.84807993035546</v>
      </c>
      <c r="F96" s="58">
        <f t="shared" si="21"/>
        <v>1238.5162442388923</v>
      </c>
      <c r="G96" s="59">
        <f t="shared" si="22"/>
        <v>8539.2722601285459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-0.14429309384601521</v>
      </c>
      <c r="E97" s="57">
        <f t="shared" si="20"/>
        <v>17.932750858383926</v>
      </c>
      <c r="F97" s="58">
        <f t="shared" si="21"/>
        <v>1287.8494537683291</v>
      </c>
      <c r="G97" s="59">
        <f t="shared" si="22"/>
        <v>8879.4128998637243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-0.14429309384601521</v>
      </c>
      <c r="E98" s="57">
        <f t="shared" si="20"/>
        <v>7.1731003433535694</v>
      </c>
      <c r="F98" s="58">
        <f t="shared" si="21"/>
        <v>1115.5687448181905</v>
      </c>
      <c r="G98" s="59">
        <f t="shared" si="22"/>
        <v>7691.5787590226664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-0.14429309384601521</v>
      </c>
      <c r="E99" s="57">
        <f t="shared" si="20"/>
        <v>3.5865501716767851</v>
      </c>
      <c r="F99" s="58">
        <f t="shared" si="21"/>
        <v>989.18492903750541</v>
      </c>
      <c r="G99" s="59">
        <f t="shared" si="22"/>
        <v>6820.1926813306309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-0.14429309384601521</v>
      </c>
      <c r="E100" s="57">
        <f t="shared" si="20"/>
        <v>0.71731003433535667</v>
      </c>
      <c r="F100" s="58">
        <f t="shared" si="21"/>
        <v>719.30022510039657</v>
      </c>
      <c r="G100" s="59">
        <f t="shared" si="22"/>
        <v>4959.4024200132098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-0.14429309384601521</v>
      </c>
      <c r="E101" s="57">
        <f t="shared" si="20"/>
        <v>0.35865501716767823</v>
      </c>
      <c r="F101" s="58">
        <f t="shared" si="21"/>
        <v>616.67623787879575</v>
      </c>
      <c r="G101" s="59">
        <f t="shared" si="22"/>
        <v>4251.8346578772052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-0.14429309384601521</v>
      </c>
      <c r="E102" s="57">
        <f t="shared" si="20"/>
        <v>7.1731003433535639E-2</v>
      </c>
      <c r="F102" s="58">
        <f t="shared" si="21"/>
        <v>416.3452304637575</v>
      </c>
      <c r="G102" s="59">
        <f t="shared" si="22"/>
        <v>2870.6004411922968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-2.1849367811008786</v>
      </c>
      <c r="E103" s="57">
        <f t="shared" si="20"/>
        <v>0.16330640843850644</v>
      </c>
      <c r="F103" s="58">
        <f t="shared" si="21"/>
        <v>512.10477368914087</v>
      </c>
      <c r="G103" s="59">
        <f t="shared" si="22"/>
        <v>3530.8395094409407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-2.1849367811008786</v>
      </c>
      <c r="E104" s="57">
        <f t="shared" si="20"/>
        <v>6.532256337540257E-2</v>
      </c>
      <c r="F104" s="58">
        <f t="shared" si="21"/>
        <v>406.55097208706036</v>
      </c>
      <c r="G104" s="59">
        <f t="shared" si="22"/>
        <v>2803.0713803069802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-2.1849367811008786</v>
      </c>
      <c r="E105" s="57">
        <f t="shared" si="20"/>
        <v>3.2661281687701278E-2</v>
      </c>
      <c r="F105" s="58">
        <f t="shared" si="21"/>
        <v>338.47753297616197</v>
      </c>
      <c r="G105" s="59">
        <f t="shared" si="22"/>
        <v>2333.7213552627222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-2.1849367811008786</v>
      </c>
      <c r="E106" s="57">
        <f t="shared" si="20"/>
        <v>6.5322563375402546E-3</v>
      </c>
      <c r="F106" s="58">
        <f t="shared" si="21"/>
        <v>216.63957515905798</v>
      </c>
      <c r="G106" s="59">
        <f t="shared" si="22"/>
        <v>1493.6778772236667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-2.1849367811008786</v>
      </c>
      <c r="E107" s="57">
        <f t="shared" si="20"/>
        <v>3.2661281687701273E-3</v>
      </c>
      <c r="F107" s="58">
        <f t="shared" si="21"/>
        <v>177.84862152398756</v>
      </c>
      <c r="G107" s="59">
        <f t="shared" si="22"/>
        <v>1226.2235617387284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-2.1849367811008786</v>
      </c>
      <c r="E108" s="57">
        <f t="shared" si="20"/>
        <v>6.532256337540254E-4</v>
      </c>
      <c r="F108" s="58">
        <f t="shared" si="21"/>
        <v>112.57362438181661</v>
      </c>
      <c r="G108" s="59">
        <f t="shared" si="22"/>
        <v>776.16812244277389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-4.0179412443231648</v>
      </c>
      <c r="E109" s="57">
        <f t="shared" si="20"/>
        <v>2.3988260938892889E-3</v>
      </c>
      <c r="F109" s="58">
        <f t="shared" si="21"/>
        <v>162.90510372021933</v>
      </c>
      <c r="G109" s="59">
        <f t="shared" si="22"/>
        <v>1123.1915929260194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-4.0179412443231648</v>
      </c>
      <c r="E110" s="57">
        <f t="shared" si="20"/>
        <v>9.5953043755571627E-4</v>
      </c>
      <c r="F110" s="58">
        <f t="shared" si="21"/>
        <v>125.50412169613624</v>
      </c>
      <c r="G110" s="59">
        <f t="shared" si="22"/>
        <v>865.32079810565222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-4.0179412443231648</v>
      </c>
      <c r="E111" s="57">
        <f t="shared" si="20"/>
        <v>4.7976521877785813E-4</v>
      </c>
      <c r="F111" s="58">
        <f t="shared" si="21"/>
        <v>103.31390786426348</v>
      </c>
      <c r="G111" s="59">
        <f t="shared" si="22"/>
        <v>712.32459938620923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-4.0179412443231648</v>
      </c>
      <c r="E112" s="57">
        <f t="shared" si="20"/>
        <v>9.5953043755571534E-5</v>
      </c>
      <c r="F112" s="58">
        <f t="shared" si="21"/>
        <v>67.010426915046637</v>
      </c>
      <c r="G112" s="59">
        <f t="shared" si="22"/>
        <v>462.02081107678691</v>
      </c>
    </row>
    <row r="113" spans="1:8" x14ac:dyDescent="0.25">
      <c r="A113" s="23">
        <v>54.444444444444443</v>
      </c>
      <c r="B113" s="8">
        <v>130</v>
      </c>
      <c r="C113" s="8">
        <v>0.5</v>
      </c>
      <c r="D113" s="56">
        <f t="shared" si="19"/>
        <v>-4.0179412443231648</v>
      </c>
      <c r="E113" s="57">
        <f t="shared" si="20"/>
        <v>4.797652187778576E-5</v>
      </c>
      <c r="F113" s="58">
        <f t="shared" si="21"/>
        <v>56.252808426736088</v>
      </c>
      <c r="G113" s="59">
        <f t="shared" si="22"/>
        <v>387.84961342832293</v>
      </c>
    </row>
    <row r="114" spans="1:8" x14ac:dyDescent="0.25">
      <c r="A114" s="23">
        <v>54.444444444444443</v>
      </c>
      <c r="B114" s="8">
        <v>130</v>
      </c>
      <c r="C114" s="8">
        <v>0.1</v>
      </c>
      <c r="D114" s="56">
        <f t="shared" si="19"/>
        <v>-4.0179412443231648</v>
      </c>
      <c r="E114" s="57">
        <f t="shared" si="20"/>
        <v>9.5953043755571602E-6</v>
      </c>
      <c r="F114" s="58">
        <f t="shared" si="21"/>
        <v>38.769014447386496</v>
      </c>
      <c r="G114" s="59">
        <f t="shared" si="22"/>
        <v>267.30305005126252</v>
      </c>
    </row>
    <row r="115" spans="1:8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1049.1781280329362</v>
      </c>
      <c r="G115" s="67">
        <f t="shared" si="22"/>
        <v>7233.8313900363673</v>
      </c>
      <c r="H115" s="68" t="s">
        <v>103</v>
      </c>
    </row>
  </sheetData>
  <mergeCells count="16">
    <mergeCell ref="B53:D53"/>
    <mergeCell ref="B81:D81"/>
    <mergeCell ref="I37:J37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02EE-0AA2-4E7E-9FC5-8BE66EC61AA9}">
  <dimension ref="A1:CJ115"/>
  <sheetViews>
    <sheetView view="pageBreakPreview" zoomScale="80" zoomScaleNormal="70" zoomScaleSheetLayoutView="80" workbookViewId="0">
      <selection activeCell="J25" sqref="J25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8.5703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109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2.6469999999999998</v>
      </c>
      <c r="F14" s="8" t="s">
        <v>14</v>
      </c>
      <c r="G14" s="60" t="s">
        <v>110</v>
      </c>
      <c r="H14" s="16">
        <v>6.7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5.54</v>
      </c>
      <c r="F15" s="8" t="s">
        <v>24</v>
      </c>
      <c r="G15" s="60" t="s">
        <v>111</v>
      </c>
      <c r="H15" s="16">
        <v>7</v>
      </c>
      <c r="M15" s="4" t="str">
        <f t="shared" ref="M15:N17" si="0">G14</f>
        <v>1B</v>
      </c>
      <c r="N15" s="18">
        <f t="shared" si="0"/>
        <v>6.7</v>
      </c>
      <c r="O15" s="4">
        <f>$B$14</f>
        <v>2.6469999999999998</v>
      </c>
      <c r="P15" s="20">
        <f>$B$15</f>
        <v>5.54</v>
      </c>
      <c r="Q15" s="21">
        <f>$B$16</f>
        <v>2.4729999999999999</v>
      </c>
      <c r="R15" s="21">
        <f t="shared" ref="R15:R17" si="1">((Q15*(N15-100))/-100)</f>
        <v>2.3073090000000001</v>
      </c>
      <c r="S15" s="18">
        <f t="shared" ref="S15:S17" si="2">100-((R15*(100-P15))/O15)</f>
        <v>17.662104971666025</v>
      </c>
      <c r="T15" s="18">
        <f t="shared" ref="T15:T17" si="3">100*((S15-N15)/S15)</f>
        <v>62.06567670870318</v>
      </c>
      <c r="U15" s="18"/>
      <c r="W15" s="18"/>
    </row>
    <row r="16" spans="1:23" x14ac:dyDescent="0.25">
      <c r="A16" s="8" t="s">
        <v>25</v>
      </c>
      <c r="B16" s="22">
        <v>2.4729999999999999</v>
      </c>
      <c r="F16" s="8" t="s">
        <v>26</v>
      </c>
      <c r="G16" s="60" t="s">
        <v>112</v>
      </c>
      <c r="H16" s="16">
        <v>6.5</v>
      </c>
      <c r="M16" s="4" t="str">
        <f t="shared" si="0"/>
        <v>2C</v>
      </c>
      <c r="N16" s="18">
        <f t="shared" si="0"/>
        <v>7</v>
      </c>
      <c r="O16" s="4">
        <f t="shared" ref="O16:O17" si="4">$B$14</f>
        <v>2.6469999999999998</v>
      </c>
      <c r="P16" s="20">
        <f t="shared" ref="P16:P17" si="5">$B$15</f>
        <v>5.54</v>
      </c>
      <c r="Q16" s="21">
        <f t="shared" ref="Q16:Q17" si="6">$B$16</f>
        <v>2.4729999999999999</v>
      </c>
      <c r="R16" s="21">
        <f t="shared" si="1"/>
        <v>2.2998899999999995</v>
      </c>
      <c r="S16" s="18">
        <f t="shared" si="2"/>
        <v>17.92685704571214</v>
      </c>
      <c r="T16" s="18">
        <f t="shared" si="3"/>
        <v>60.952441456131844</v>
      </c>
      <c r="U16" s="18"/>
    </row>
    <row r="17" spans="1:88" x14ac:dyDescent="0.25">
      <c r="A17" s="8" t="s">
        <v>21</v>
      </c>
      <c r="B17" s="23">
        <f>AVERAGE(S15:S17)</f>
        <v>17.691521868782271</v>
      </c>
      <c r="M17" s="4" t="str">
        <f t="shared" si="0"/>
        <v>3C</v>
      </c>
      <c r="N17" s="18">
        <f t="shared" si="0"/>
        <v>6.5</v>
      </c>
      <c r="O17" s="4">
        <f t="shared" si="4"/>
        <v>2.6469999999999998</v>
      </c>
      <c r="P17" s="20">
        <f t="shared" si="5"/>
        <v>5.54</v>
      </c>
      <c r="Q17" s="21">
        <f t="shared" si="6"/>
        <v>2.4729999999999999</v>
      </c>
      <c r="R17" s="21">
        <f t="shared" si="1"/>
        <v>2.3122549999999999</v>
      </c>
      <c r="S17" s="18">
        <f t="shared" si="2"/>
        <v>17.485603588968644</v>
      </c>
      <c r="T17" s="18">
        <f t="shared" si="3"/>
        <v>62.826562051877154</v>
      </c>
    </row>
    <row r="18" spans="1:88" x14ac:dyDescent="0.25">
      <c r="A18" s="8" t="s">
        <v>22</v>
      </c>
      <c r="B18" s="23">
        <f>AVERAGE(T15:T17)</f>
        <v>61.948226738904054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1455.4537009303499</v>
      </c>
      <c r="D23" s="16">
        <v>11.53</v>
      </c>
      <c r="E23" s="16">
        <v>1367.7058694343</v>
      </c>
      <c r="F23" s="16">
        <v>10.98</v>
      </c>
      <c r="G23" s="16">
        <v>1344.3547936146899</v>
      </c>
      <c r="H23" s="16">
        <v>11.36</v>
      </c>
      <c r="M23" s="4">
        <v>20</v>
      </c>
      <c r="N23" s="29">
        <f>(20+(B18*3*145000)/(B17))^0.58/(650+((B18*3*145000)/B17)^0.58)</f>
        <v>0.85571451984251656</v>
      </c>
      <c r="O23" s="18">
        <f>(N23*(4200000*(1-B17/100)+3*145000*(B17*B18)/10000)+(1-N23)/((1-B17/100)/4200000+B17/(3*B18*145000)))/1000</f>
        <v>3168.2145876118484</v>
      </c>
      <c r="P23" s="29">
        <f>LOG10(O23)</f>
        <v>3.500814589287264</v>
      </c>
      <c r="R23" s="30">
        <f>(1/6*T38)^0.5</f>
        <v>1.8052616725814628E-2</v>
      </c>
      <c r="S23" s="30">
        <f>1-R23^2/Q38^2*12/6</f>
        <v>0.99699138404693777</v>
      </c>
      <c r="T23" s="30">
        <f>(1-8*R23^2/9*Q38^2)</f>
        <v>0.99993724167176445</v>
      </c>
    </row>
    <row r="24" spans="1:88" x14ac:dyDescent="0.25">
      <c r="A24" s="8">
        <v>4</v>
      </c>
      <c r="B24" s="23">
        <v>1</v>
      </c>
      <c r="C24" s="16">
        <v>1838.9334802287899</v>
      </c>
      <c r="D24" s="16">
        <v>9.17</v>
      </c>
      <c r="E24" s="16">
        <v>1734.07119564756</v>
      </c>
      <c r="F24" s="16">
        <v>9.1300000000000008</v>
      </c>
      <c r="G24" s="16">
        <v>1723.4834407728299</v>
      </c>
      <c r="H24" s="16">
        <v>9.48</v>
      </c>
    </row>
    <row r="25" spans="1:88" x14ac:dyDescent="0.25">
      <c r="A25" s="8">
        <v>4</v>
      </c>
      <c r="B25" s="23">
        <v>10</v>
      </c>
      <c r="C25" s="16">
        <v>2268.3902224764001</v>
      </c>
      <c r="D25" s="16">
        <v>7.62</v>
      </c>
      <c r="E25" s="16">
        <v>2131.0394845809301</v>
      </c>
      <c r="F25" s="16">
        <v>7.72</v>
      </c>
      <c r="G25" s="16">
        <v>2134.8104657691902</v>
      </c>
      <c r="H25" s="16">
        <v>8.11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540.55564956326998</v>
      </c>
      <c r="D26" s="16">
        <v>21.3</v>
      </c>
      <c r="E26" s="16">
        <v>498.9298187544</v>
      </c>
      <c r="F26" s="16">
        <v>20.95</v>
      </c>
      <c r="G26" s="16">
        <v>466.44136544015998</v>
      </c>
      <c r="H26" s="16">
        <v>21.93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845.86008807431995</v>
      </c>
      <c r="D27" s="16">
        <v>17.190000000000001</v>
      </c>
      <c r="E27" s="16">
        <v>777.40227573360005</v>
      </c>
      <c r="F27" s="16">
        <v>17.02</v>
      </c>
      <c r="G27" s="16">
        <v>737.51689778084994</v>
      </c>
      <c r="H27" s="16">
        <v>17.899999999999999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1234.9963391551501</v>
      </c>
      <c r="D28" s="16">
        <v>13.79</v>
      </c>
      <c r="E28" s="16">
        <v>1133.32488481014</v>
      </c>
      <c r="F28" s="16">
        <v>13.87</v>
      </c>
      <c r="G28" s="16">
        <v>1091.5540162632601</v>
      </c>
      <c r="H28" s="16">
        <v>14.5</v>
      </c>
      <c r="I28" s="3"/>
      <c r="J28" s="3"/>
      <c r="K28" s="3"/>
      <c r="L28" s="3"/>
      <c r="M28" s="32">
        <f t="shared" ref="M28:N37" si="7">A23</f>
        <v>4</v>
      </c>
      <c r="N28" s="32">
        <f t="shared" si="7"/>
        <v>0.1</v>
      </c>
      <c r="O28" s="33">
        <f>C40</f>
        <v>1389.1714546597798</v>
      </c>
      <c r="P28" s="33">
        <f>E40</f>
        <v>11.29</v>
      </c>
      <c r="Q28" s="34">
        <f>LOG10(O28)</f>
        <v>3.142755850645699</v>
      </c>
      <c r="R28" s="34">
        <f t="shared" ref="R28:R37" si="8">$N$42+($P$23-$N$42)/(1+EXP($O$42+$P$42*(LOG10(N28)+$Q$42/19.147142*(1/(273.2+M28)-1/($M$23+273.2)))))</f>
        <v>3.1255256056209033</v>
      </c>
      <c r="S28" s="34">
        <f>Q28-R28</f>
        <v>1.7230245024795643E-2</v>
      </c>
      <c r="T28" s="35">
        <f>S28^2</f>
        <v>2.9688134361449502E-4</v>
      </c>
      <c r="U28" s="34">
        <f>$Q$42/19.147143*(1/(M28+273.15)-1/($M$23+273.15))</f>
        <v>2.2890252538731666</v>
      </c>
      <c r="V28" s="34">
        <f>LOG10(N28)+U28</f>
        <v>1.2890252538731666</v>
      </c>
      <c r="W28" s="34">
        <f>10^V28</f>
        <v>19.454732060283664</v>
      </c>
    </row>
    <row r="29" spans="1:88" s="4" customFormat="1" x14ac:dyDescent="0.25">
      <c r="A29" s="15">
        <v>35</v>
      </c>
      <c r="B29" s="36">
        <v>0.01</v>
      </c>
      <c r="C29" s="16">
        <v>87.385237151024995</v>
      </c>
      <c r="D29" s="16">
        <v>31.45</v>
      </c>
      <c r="E29" s="16">
        <v>78.755491739429999</v>
      </c>
      <c r="F29" s="16">
        <v>31.24</v>
      </c>
      <c r="G29" s="16">
        <v>74.43336714673201</v>
      </c>
      <c r="H29" s="16">
        <v>31.83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1765.4960388830598</v>
      </c>
      <c r="P29" s="33">
        <f>E39</f>
        <v>9.26</v>
      </c>
      <c r="Q29" s="34">
        <f t="shared" ref="Q29:Q37" si="9">LOG10(O29)</f>
        <v>3.2468667475048032</v>
      </c>
      <c r="R29" s="34">
        <f t="shared" si="8"/>
        <v>3.2401618606169027</v>
      </c>
      <c r="S29" s="34">
        <f t="shared" ref="S29:S37" si="10">Q29-R29</f>
        <v>6.7048868879004964E-3</v>
      </c>
      <c r="T29" s="35">
        <f t="shared" ref="T29:T37" si="11">S29^2</f>
        <v>4.4955508179540006E-5</v>
      </c>
      <c r="U29" s="34">
        <f t="shared" ref="U29:U37" si="12">$Q$42/19.147143*(1/(M29+273.15)-1/($M$23+273.15))</f>
        <v>2.2890252538731666</v>
      </c>
      <c r="V29" s="34">
        <f t="shared" ref="V29:V37" si="13">LOG10(N29)+U29</f>
        <v>2.2890252538731666</v>
      </c>
      <c r="W29" s="34">
        <f t="shared" ref="W29:W37" si="14">10^V29</f>
        <v>194.54732060283666</v>
      </c>
    </row>
    <row r="30" spans="1:88" s="4" customFormat="1" x14ac:dyDescent="0.25">
      <c r="A30" s="15">
        <v>35</v>
      </c>
      <c r="B30" s="23">
        <v>0.1</v>
      </c>
      <c r="C30" s="16">
        <v>183.03762536862001</v>
      </c>
      <c r="D30" s="16">
        <v>29.36</v>
      </c>
      <c r="E30" s="16">
        <v>151.99954943448</v>
      </c>
      <c r="F30" s="16">
        <v>29.66</v>
      </c>
      <c r="G30" s="16">
        <v>143.94995497492499</v>
      </c>
      <c r="H30" s="16">
        <v>30.5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2178.08005760884</v>
      </c>
      <c r="P30" s="33">
        <f>E38</f>
        <v>7.8166666666666664</v>
      </c>
      <c r="Q30" s="34">
        <f t="shared" si="9"/>
        <v>3.3380738386606965</v>
      </c>
      <c r="R30" s="34">
        <f t="shared" si="8"/>
        <v>3.3223716488393542</v>
      </c>
      <c r="S30" s="34">
        <f t="shared" si="10"/>
        <v>1.5702189821342305E-2</v>
      </c>
      <c r="T30" s="35">
        <f t="shared" si="11"/>
        <v>2.465587651854659E-4</v>
      </c>
      <c r="U30" s="34">
        <f t="shared" si="12"/>
        <v>2.2890252538731666</v>
      </c>
      <c r="V30" s="34">
        <f t="shared" si="13"/>
        <v>3.2890252538731666</v>
      </c>
      <c r="W30" s="34">
        <f t="shared" si="14"/>
        <v>1945.4732060283673</v>
      </c>
    </row>
    <row r="31" spans="1:88" s="4" customFormat="1" x14ac:dyDescent="0.25">
      <c r="A31" s="15">
        <v>35</v>
      </c>
      <c r="B31" s="23">
        <v>1</v>
      </c>
      <c r="C31" s="16">
        <v>348.09057122399997</v>
      </c>
      <c r="D31" s="16">
        <v>25.6</v>
      </c>
      <c r="E31" s="16">
        <v>286.59457030776002</v>
      </c>
      <c r="F31" s="16">
        <v>26.35</v>
      </c>
      <c r="G31" s="16">
        <v>277.31215507512002</v>
      </c>
      <c r="H31" s="16">
        <v>27.14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501.97561125261001</v>
      </c>
      <c r="P31" s="33">
        <f>E43</f>
        <v>21.393333333333334</v>
      </c>
      <c r="Q31" s="34">
        <f t="shared" si="9"/>
        <v>2.7006826172332379</v>
      </c>
      <c r="R31" s="34">
        <f t="shared" si="8"/>
        <v>2.7066613435354934</v>
      </c>
      <c r="S31" s="34">
        <f t="shared" si="10"/>
        <v>-5.9787263022554882E-3</v>
      </c>
      <c r="T31" s="35">
        <f t="shared" si="11"/>
        <v>3.574516819728158E-5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15">
        <v>35</v>
      </c>
      <c r="B32" s="23">
        <v>10</v>
      </c>
      <c r="C32" s="16">
        <v>611.33406571215005</v>
      </c>
      <c r="D32" s="16">
        <v>21.18</v>
      </c>
      <c r="E32" s="16">
        <v>507.05193208295998</v>
      </c>
      <c r="F32" s="16">
        <v>22.03</v>
      </c>
      <c r="G32" s="16">
        <v>502.12064899062</v>
      </c>
      <c r="H32" s="16">
        <v>22.6</v>
      </c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786.9264205295899</v>
      </c>
      <c r="P32" s="33">
        <f>E42</f>
        <v>17.37</v>
      </c>
      <c r="Q32" s="34">
        <f t="shared" si="9"/>
        <v>2.8959341267022984</v>
      </c>
      <c r="R32" s="34">
        <f t="shared" si="8"/>
        <v>2.9183484799764337</v>
      </c>
      <c r="S32" s="34">
        <f t="shared" si="10"/>
        <v>-2.2414353274135213E-2</v>
      </c>
      <c r="T32" s="35">
        <f t="shared" si="11"/>
        <v>5.0240323269773587E-4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1153.2917467428501</v>
      </c>
      <c r="P33" s="33">
        <f>E41</f>
        <v>14.053333333333333</v>
      </c>
      <c r="Q33" s="34">
        <f t="shared" si="9"/>
        <v>3.0619391841143928</v>
      </c>
      <c r="R33" s="34">
        <f t="shared" si="8"/>
        <v>3.0853696743899608</v>
      </c>
      <c r="S33" s="34">
        <f t="shared" si="10"/>
        <v>-2.3430490275567983E-2</v>
      </c>
      <c r="T33" s="35">
        <f t="shared" si="11"/>
        <v>5.4898787455348586E-4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35</v>
      </c>
      <c r="N34" s="32">
        <f t="shared" si="7"/>
        <v>0.01</v>
      </c>
      <c r="O34" s="33">
        <f>C47</f>
        <v>80.191365345729011</v>
      </c>
      <c r="P34" s="33">
        <f>E47</f>
        <v>31.506666666666664</v>
      </c>
      <c r="Q34" s="34">
        <f t="shared" si="9"/>
        <v>1.9041276078778464</v>
      </c>
      <c r="R34" s="34">
        <f t="shared" si="8"/>
        <v>1.9108194757751356</v>
      </c>
      <c r="S34" s="34">
        <f t="shared" si="10"/>
        <v>-6.6918678972891499E-3</v>
      </c>
      <c r="T34" s="35">
        <f t="shared" si="11"/>
        <v>4.4781095954769111E-5</v>
      </c>
      <c r="U34" s="34">
        <f t="shared" si="12"/>
        <v>-1.930076715208549</v>
      </c>
      <c r="V34" s="34">
        <f t="shared" si="13"/>
        <v>-3.930076715208549</v>
      </c>
      <c r="W34" s="34">
        <f t="shared" si="14"/>
        <v>1.1746900354924178E-4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35</v>
      </c>
      <c r="N35" s="32">
        <f t="shared" si="7"/>
        <v>0.1</v>
      </c>
      <c r="O35" s="33">
        <f>C46</f>
        <v>159.662376592675</v>
      </c>
      <c r="P35" s="33">
        <f>E46</f>
        <v>29.84</v>
      </c>
      <c r="Q35" s="34">
        <f t="shared" si="9"/>
        <v>2.2032025895060126</v>
      </c>
      <c r="R35" s="34">
        <f t="shared" si="8"/>
        <v>2.1957489334073266</v>
      </c>
      <c r="S35" s="34">
        <f t="shared" si="10"/>
        <v>7.453656098685979E-3</v>
      </c>
      <c r="T35" s="35">
        <f t="shared" si="11"/>
        <v>5.5556989237478691E-5</v>
      </c>
      <c r="U35" s="34">
        <f t="shared" si="12"/>
        <v>-1.930076715208549</v>
      </c>
      <c r="V35" s="34">
        <f t="shared" si="13"/>
        <v>-2.930076715208549</v>
      </c>
      <c r="W35" s="34">
        <f t="shared" si="14"/>
        <v>1.1746900354924182E-3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35</v>
      </c>
      <c r="N36" s="32">
        <f t="shared" si="7"/>
        <v>1</v>
      </c>
      <c r="O36" s="33">
        <f>C45</f>
        <v>303.99909886896</v>
      </c>
      <c r="P36" s="33">
        <f>E45</f>
        <v>26.363333333333333</v>
      </c>
      <c r="Q36" s="34">
        <f t="shared" si="9"/>
        <v>2.4828722962507994</v>
      </c>
      <c r="R36" s="34">
        <f t="shared" si="8"/>
        <v>2.4734281500827402</v>
      </c>
      <c r="S36" s="34">
        <f t="shared" si="10"/>
        <v>9.4441461680592198E-3</v>
      </c>
      <c r="T36" s="35">
        <f t="shared" si="11"/>
        <v>8.9191896843667643E-5</v>
      </c>
      <c r="U36" s="34">
        <f t="shared" si="12"/>
        <v>-1.930076715208549</v>
      </c>
      <c r="V36" s="34">
        <f t="shared" si="13"/>
        <v>-1.930076715208549</v>
      </c>
      <c r="W36" s="34">
        <f t="shared" si="14"/>
        <v>1.1746900354924183E-2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M37" s="32">
        <f t="shared" si="7"/>
        <v>35</v>
      </c>
      <c r="N37" s="32">
        <f t="shared" si="7"/>
        <v>10</v>
      </c>
      <c r="O37" s="33">
        <f>C44</f>
        <v>540.16888226190997</v>
      </c>
      <c r="P37" s="33">
        <f>E44</f>
        <v>21.936666666666667</v>
      </c>
      <c r="Q37" s="34">
        <f t="shared" si="9"/>
        <v>2.7325295619854653</v>
      </c>
      <c r="R37" s="34">
        <f t="shared" si="8"/>
        <v>2.7230258811495442</v>
      </c>
      <c r="S37" s="34">
        <f t="shared" si="10"/>
        <v>9.5036808359210134E-3</v>
      </c>
      <c r="T37" s="35">
        <f t="shared" si="11"/>
        <v>9.0319949431052332E-5</v>
      </c>
      <c r="U37" s="34">
        <f t="shared" si="12"/>
        <v>-1.930076715208549</v>
      </c>
      <c r="V37" s="34">
        <f t="shared" si="13"/>
        <v>-0.93007671520854895</v>
      </c>
      <c r="W37" s="34">
        <f t="shared" si="14"/>
        <v>0.11746900354924192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2178.08005760884</v>
      </c>
      <c r="D38" s="23">
        <f>(STDEV(C25,E25,G25)/C38)*100</f>
        <v>3.5918615989733795</v>
      </c>
      <c r="E38" s="23">
        <f>AVERAGE(D25,F25,H25)</f>
        <v>7.8166666666666664</v>
      </c>
      <c r="F38" s="23">
        <f>STDEV(D25,F25,H25)</f>
        <v>0.25890796305508484</v>
      </c>
      <c r="G38" s="3"/>
      <c r="H38" s="3"/>
      <c r="I38" s="26" t="s">
        <v>32</v>
      </c>
      <c r="J38" s="8">
        <v>20</v>
      </c>
      <c r="K38" s="3"/>
      <c r="L38" s="3"/>
      <c r="P38" s="32" t="s">
        <v>68</v>
      </c>
      <c r="Q38" s="35">
        <f>STDEV(Q28:Q37)</f>
        <v>0.46544865813852226</v>
      </c>
      <c r="S38" s="32" t="s">
        <v>69</v>
      </c>
      <c r="T38" s="35">
        <f>SUM(T28:T37)</f>
        <v>1.9553818238949722E-3</v>
      </c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1765.4960388830598</v>
      </c>
      <c r="D39" s="23">
        <f>(STDEV(C24,E24,G24)/C39)*100</f>
        <v>3.6147709206006287</v>
      </c>
      <c r="E39" s="23">
        <f>AVERAGE(D24,F24,H24)</f>
        <v>9.26</v>
      </c>
      <c r="F39" s="23">
        <f>STDEV(D24,F24,H24)</f>
        <v>0.19157244060668016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1389.1714546597798</v>
      </c>
      <c r="D40" s="23">
        <f>(STDEV(C23,E23,G23)/C40)*100</f>
        <v>4.216720157259239</v>
      </c>
      <c r="E40" s="23">
        <f>AVERAGE(D23,F23,H23)</f>
        <v>11.29</v>
      </c>
      <c r="F40" s="23">
        <f>STDEV(D23,F23,H23)</f>
        <v>0.28160255680657387</v>
      </c>
      <c r="G40" s="3"/>
      <c r="H40" s="3"/>
      <c r="I40" s="12" t="s">
        <v>94</v>
      </c>
      <c r="J40" s="59">
        <f>G115</f>
        <v>7554.9591324652292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1153.2917467428501</v>
      </c>
      <c r="D41" s="23">
        <f>(STDEV(C28,E28,G28)/C41)*100</f>
        <v>6.3970133557884346</v>
      </c>
      <c r="E41" s="23">
        <f>AVERAGE(D28,F28,H28)</f>
        <v>14.053333333333333</v>
      </c>
      <c r="F41" s="23">
        <f>STDEV(D28,F28,H28)</f>
        <v>0.38888730158406271</v>
      </c>
      <c r="G41" s="3"/>
      <c r="H41" s="3"/>
      <c r="I41" s="69" t="s">
        <v>35</v>
      </c>
      <c r="J41" s="62">
        <f>AVERAGE(E41:E42)</f>
        <v>15.711666666666666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786.9264205295899</v>
      </c>
      <c r="D42" s="23">
        <f>(STDEV(C27,E27,G27)/C42)*100</f>
        <v>6.9632848171499839</v>
      </c>
      <c r="E42" s="23">
        <f>AVERAGE(D27,F27,H27)</f>
        <v>17.37</v>
      </c>
      <c r="F42" s="23">
        <f>STDEV(D27,F27,H27)</f>
        <v>0.46679760067935133</v>
      </c>
      <c r="G42" s="3"/>
      <c r="H42" s="3"/>
      <c r="I42" s="32" t="s">
        <v>105</v>
      </c>
      <c r="J42" s="70">
        <f>(COS(RADIANS(J41)))^2</f>
        <v>0.92666927435987834</v>
      </c>
      <c r="K42" s="3"/>
      <c r="L42" s="3"/>
      <c r="M42" s="38" t="s">
        <v>78</v>
      </c>
      <c r="N42" s="39">
        <f>N43</f>
        <v>0.71340614463204832</v>
      </c>
      <c r="O42" s="39">
        <f>O43*-1</f>
        <v>-1.3311856334611143</v>
      </c>
      <c r="P42" s="39">
        <f>P43*-1</f>
        <v>-0.41093772117660138</v>
      </c>
      <c r="Q42" s="40">
        <f>Q43*200000</f>
        <v>222556.02898518112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501.97561125261001</v>
      </c>
      <c r="D43" s="23">
        <f>(STDEV(C26,E26,G26)/C43)*100</f>
        <v>7.4009373732865589</v>
      </c>
      <c r="E43" s="23">
        <f>AVERAGE(D26,F26,H26)</f>
        <v>21.393333333333334</v>
      </c>
      <c r="F43" s="23">
        <f>STDEV(D26,F26,H26)</f>
        <v>0.49662192192183124</v>
      </c>
      <c r="G43" s="3"/>
      <c r="H43" s="3"/>
      <c r="I43" s="32" t="s">
        <v>106</v>
      </c>
      <c r="J43" s="70">
        <f>SIN(RADIANS(J41))</f>
        <v>0.27079646533904683</v>
      </c>
      <c r="K43" s="3"/>
      <c r="L43" s="3"/>
      <c r="M43" s="38" t="s">
        <v>80</v>
      </c>
      <c r="N43" s="39">
        <v>0.71340614463204832</v>
      </c>
      <c r="O43" s="39">
        <v>1.3311856334611143</v>
      </c>
      <c r="P43" s="39">
        <v>0.41093772117660138</v>
      </c>
      <c r="Q43" s="41">
        <v>1.1127801449259056</v>
      </c>
      <c r="R43" s="4" t="s">
        <v>81</v>
      </c>
    </row>
    <row r="44" spans="1:23" s="4" customFormat="1" ht="18" x14ac:dyDescent="0.35">
      <c r="A44" s="63">
        <f>A30</f>
        <v>35</v>
      </c>
      <c r="B44" s="23">
        <f>B32</f>
        <v>10</v>
      </c>
      <c r="C44" s="23">
        <f>AVERAGE(C32,E32,G32)</f>
        <v>540.16888226190997</v>
      </c>
      <c r="D44" s="23">
        <f>(STDEV(C32,E32,G32)/C44)*100</f>
        <v>11.418680345539498</v>
      </c>
      <c r="E44" s="23">
        <f>AVERAGE(D32,F32,H32)</f>
        <v>21.936666666666667</v>
      </c>
      <c r="F44" s="23">
        <f>STDEV(D32,F32,H32)</f>
        <v>0.71458612730260485</v>
      </c>
      <c r="G44" s="3"/>
      <c r="H44" s="3"/>
      <c r="I44" s="12" t="s">
        <v>107</v>
      </c>
      <c r="J44" s="59">
        <f>(J40*J42)/J43</f>
        <v>25853.175329798538</v>
      </c>
      <c r="K44" s="3"/>
      <c r="L44" s="3"/>
    </row>
    <row r="45" spans="1:23" s="4" customFormat="1" x14ac:dyDescent="0.25">
      <c r="A45" s="63">
        <f>A31</f>
        <v>35</v>
      </c>
      <c r="B45" s="23">
        <f>B31</f>
        <v>1</v>
      </c>
      <c r="C45" s="23">
        <f>AVERAGE(C31,E31,G31)</f>
        <v>303.99909886896</v>
      </c>
      <c r="D45" s="23">
        <f>(STDEV(C31,E31,G31)/C45)*100</f>
        <v>12.653117904008216</v>
      </c>
      <c r="E45" s="23">
        <f>AVERAGE(D31,F31,H31)</f>
        <v>26.363333333333333</v>
      </c>
      <c r="F45" s="23">
        <f>STDEV(D31,F31,H31)</f>
        <v>0.77008657521952206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63">
        <f>A32</f>
        <v>35</v>
      </c>
      <c r="B46" s="23">
        <f>B30</f>
        <v>0.1</v>
      </c>
      <c r="C46" s="23">
        <f>AVERAGE(C30,E30,G30)</f>
        <v>159.662376592675</v>
      </c>
      <c r="D46" s="23">
        <f>(STDEV(C30,E30,G30)/C46)*100</f>
        <v>12.92714317353521</v>
      </c>
      <c r="E46" s="23">
        <f>AVERAGE(D30,F30,H30)</f>
        <v>29.84</v>
      </c>
      <c r="F46" s="23">
        <f>STDEV(D30,F30,H30)</f>
        <v>0.59093146810776653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3.4735834055176715</v>
      </c>
      <c r="O46" s="44">
        <f t="shared" ref="O46" si="17">10^N46</f>
        <v>2975.6606745882955</v>
      </c>
    </row>
    <row r="47" spans="1:23" s="4" customFormat="1" x14ac:dyDescent="0.25">
      <c r="A47" s="63">
        <f>A29</f>
        <v>35</v>
      </c>
      <c r="B47" s="36">
        <f>B29</f>
        <v>0.01</v>
      </c>
      <c r="C47" s="23">
        <f>AVERAGE(C29,E29,G29)</f>
        <v>80.191365345729011</v>
      </c>
      <c r="D47" s="23">
        <f>(STDEV(C29,E29,G29)/C47)*100</f>
        <v>8.2231328193663611</v>
      </c>
      <c r="E47" s="23">
        <f>AVERAGE(D29,F29,H29)</f>
        <v>31.506666666666664</v>
      </c>
      <c r="F47" s="23">
        <f>STDEV(D29,F29,H29)</f>
        <v>0.29905406423142494</v>
      </c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3.4599465757514203</v>
      </c>
      <c r="O47" s="44">
        <f>10^N47</f>
        <v>2883.6767490463117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3.439632069394241</v>
      </c>
      <c r="O48" s="44">
        <f>10^N48</f>
        <v>2751.8963322363343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3.4095552321934086</v>
      </c>
      <c r="O49" s="44">
        <f t="shared" ref="O49:O62" si="18">10^N49</f>
        <v>2567.7647475100084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3.3654271287515005</v>
      </c>
      <c r="O50" s="44">
        <f t="shared" si="18"/>
        <v>2319.6749294366223</v>
      </c>
    </row>
    <row r="51" spans="1:15" s="4" customFormat="1" x14ac:dyDescent="0.25">
      <c r="A51" s="24">
        <f>O23</f>
        <v>3168.2145876118484</v>
      </c>
      <c r="B51" s="45">
        <f>10^N42</f>
        <v>5.16899538752868</v>
      </c>
      <c r="C51" s="46">
        <f>O42</f>
        <v>-1.3311856334611143</v>
      </c>
      <c r="D51" s="46">
        <f>P42</f>
        <v>-0.41093772117660138</v>
      </c>
      <c r="E51" s="47">
        <f>Q42</f>
        <v>222556.02898518112</v>
      </c>
      <c r="F51" s="48">
        <f>S23</f>
        <v>0.99699138404693777</v>
      </c>
      <c r="G51" s="45">
        <f>R23/Q38</f>
        <v>3.878540932530089E-2</v>
      </c>
      <c r="H51" s="3"/>
      <c r="I51" s="3"/>
      <c r="J51" s="3"/>
      <c r="K51" s="3"/>
      <c r="L51" s="3"/>
      <c r="M51" s="43">
        <v>1000</v>
      </c>
      <c r="N51" s="21">
        <f t="shared" si="16"/>
        <v>3.3015381756943869</v>
      </c>
      <c r="O51" s="44">
        <f t="shared" si="18"/>
        <v>2002.3416252583233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3.2107972186981746</v>
      </c>
      <c r="O52" s="44">
        <f t="shared" si="18"/>
        <v>1624.7899297401314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3.0853696743899608</v>
      </c>
      <c r="O53" s="44">
        <f t="shared" si="18"/>
        <v>1217.2216670873029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2.9183484799764337</v>
      </c>
      <c r="O54" s="44">
        <f t="shared" si="18"/>
        <v>828.60677508576327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2.7066613435354934</v>
      </c>
      <c r="O55" s="44">
        <f t="shared" si="18"/>
        <v>508.93385713038401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2.4545462047358493</v>
      </c>
      <c r="O56" s="44">
        <f t="shared" si="18"/>
        <v>284.80407880723322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2.1756062022200915</v>
      </c>
      <c r="O57" s="44">
        <f t="shared" si="18"/>
        <v>149.83256082669359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1.8910547536728031</v>
      </c>
      <c r="O58" s="44">
        <f t="shared" si="18"/>
        <v>77.81346481744734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1.6238352647559275</v>
      </c>
      <c r="O59" s="44">
        <f t="shared" si="18"/>
        <v>42.056706992026839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1.3917011341676715</v>
      </c>
      <c r="O60" s="44">
        <f t="shared" si="18"/>
        <v>24.643428815012495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1.2033064783257454</v>
      </c>
      <c r="O61" s="18">
        <f t="shared" si="18"/>
        <v>15.970057445296902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1.0586720580317679</v>
      </c>
      <c r="O62" s="18">
        <f t="shared" si="18"/>
        <v>11.446482747591979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N1-1 CA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4.5202601784400303</v>
      </c>
      <c r="E85" s="57">
        <f>10^(LOG(C85)+D85)</f>
        <v>828323.88985211402</v>
      </c>
      <c r="F85" s="58">
        <f>10^($N$42+($P$23-$N$42)/(1+EXP($O$42+$P$42*(LOG10(C85)+$Q$42/19.147142*(1/(273.2+A85)-1/($M$23+273.2))))))</f>
        <v>2738.713025373353</v>
      </c>
      <c r="G85" s="59">
        <f>F85*6.89476</f>
        <v>18882.769018823179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4.5202601784400303</v>
      </c>
      <c r="E86" s="57">
        <f t="shared" ref="E86:E115" si="20">10^(LOG(C86)+D86)</f>
        <v>331329.55594084586</v>
      </c>
      <c r="F86" s="58">
        <f t="shared" ref="F86:F115" si="21">10^($N$42+($P$23-$N$42)/(1+EXP($O$42+$P$42*(LOG10(C86)+$Q$42/19.147142*(1/(273.2+A86)-1/($M$23+273.2))))))</f>
        <v>2670.5802490997771</v>
      </c>
      <c r="G86" s="59">
        <f t="shared" ref="G86:G115" si="22">F86*6.89476</f>
        <v>18413.009878283177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4.5202601784400303</v>
      </c>
      <c r="E87" s="57">
        <f t="shared" si="20"/>
        <v>165664.77797042264</v>
      </c>
      <c r="F87" s="58">
        <f t="shared" si="21"/>
        <v>2612.9257763323371</v>
      </c>
      <c r="G87" s="59">
        <f t="shared" si="22"/>
        <v>18015.496125625144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4.5202601784400303</v>
      </c>
      <c r="E88" s="57">
        <f t="shared" si="20"/>
        <v>33132.955594084553</v>
      </c>
      <c r="F88" s="58">
        <f t="shared" si="21"/>
        <v>2456.8831126464697</v>
      </c>
      <c r="G88" s="59">
        <f t="shared" si="22"/>
        <v>16939.619409750372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4.5202601784400303</v>
      </c>
      <c r="E89" s="57">
        <f t="shared" si="20"/>
        <v>16566.477797042277</v>
      </c>
      <c r="F89" s="58">
        <f t="shared" si="21"/>
        <v>2379.5315891307132</v>
      </c>
      <c r="G89" s="59">
        <f t="shared" si="22"/>
        <v>16406.299219474877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4.5202601784400303</v>
      </c>
      <c r="E90" s="57">
        <f t="shared" si="20"/>
        <v>3313.2955594084574</v>
      </c>
      <c r="F90" s="58">
        <f t="shared" si="21"/>
        <v>2175.4434740128668</v>
      </c>
      <c r="G90" s="59">
        <f t="shared" si="22"/>
        <v>14999.160646884953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2.221878509601789</v>
      </c>
      <c r="E91" s="57">
        <f t="shared" si="20"/>
        <v>4166.9521968612935</v>
      </c>
      <c r="F91" s="58">
        <f t="shared" si="21"/>
        <v>2206.8640964209708</v>
      </c>
      <c r="G91" s="59">
        <f t="shared" si="22"/>
        <v>15215.798297439453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2.221878509601789</v>
      </c>
      <c r="E92" s="57">
        <f t="shared" si="20"/>
        <v>1666.7808787445174</v>
      </c>
      <c r="F92" s="58">
        <f t="shared" si="21"/>
        <v>2078.3032569816774</v>
      </c>
      <c r="G92" s="59">
        <f t="shared" si="22"/>
        <v>14329.402164106988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2.221878509601789</v>
      </c>
      <c r="E93" s="57">
        <f t="shared" si="20"/>
        <v>833.39043937225858</v>
      </c>
      <c r="F93" s="58">
        <f t="shared" si="21"/>
        <v>1974.1238104156714</v>
      </c>
      <c r="G93" s="59">
        <f t="shared" si="22"/>
        <v>13611.109883101553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2.221878509601789</v>
      </c>
      <c r="E94" s="57">
        <f t="shared" si="20"/>
        <v>166.67808787445171</v>
      </c>
      <c r="F94" s="58">
        <f t="shared" si="21"/>
        <v>1712.2651656396356</v>
      </c>
      <c r="G94" s="59">
        <f t="shared" si="22"/>
        <v>11805.657373445534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2.221878509601789</v>
      </c>
      <c r="E95" s="57">
        <f t="shared" si="20"/>
        <v>83.339043937225838</v>
      </c>
      <c r="F95" s="58">
        <f t="shared" si="21"/>
        <v>1592.7610262660371</v>
      </c>
      <c r="G95" s="59">
        <f t="shared" si="22"/>
        <v>10981.705013458022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2.221878509601789</v>
      </c>
      <c r="E96" s="57">
        <f t="shared" si="20"/>
        <v>16.667808787445161</v>
      </c>
      <c r="F96" s="58">
        <f t="shared" si="21"/>
        <v>1307.6062735615533</v>
      </c>
      <c r="G96" s="59">
        <f t="shared" si="22"/>
        <v>9015.6314307012544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-0.14971667465358532</v>
      </c>
      <c r="E97" s="57">
        <f t="shared" si="20"/>
        <v>17.7101946311974</v>
      </c>
      <c r="F97" s="58">
        <f t="shared" si="21"/>
        <v>1318.7493163739609</v>
      </c>
      <c r="G97" s="59">
        <f t="shared" si="22"/>
        <v>9092.4600365625301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-0.14971667465358532</v>
      </c>
      <c r="E98" s="57">
        <f t="shared" si="20"/>
        <v>7.08407785247896</v>
      </c>
      <c r="F98" s="58">
        <f t="shared" si="21"/>
        <v>1156.5227300512699</v>
      </c>
      <c r="G98" s="59">
        <f t="shared" si="22"/>
        <v>7973.9466582482937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-0.14971667465358532</v>
      </c>
      <c r="E99" s="57">
        <f t="shared" si="20"/>
        <v>3.5420389262394805</v>
      </c>
      <c r="F99" s="58">
        <f t="shared" si="21"/>
        <v>1036.4670295957126</v>
      </c>
      <c r="G99" s="59">
        <f t="shared" si="22"/>
        <v>7146.1914169753354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-0.14971667465358532</v>
      </c>
      <c r="E100" s="57">
        <f t="shared" si="20"/>
        <v>0.70840778524789583</v>
      </c>
      <c r="F100" s="58">
        <f t="shared" si="21"/>
        <v>775.36017749081043</v>
      </c>
      <c r="G100" s="59">
        <f t="shared" si="22"/>
        <v>5345.9223373565401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-0.14971667465358532</v>
      </c>
      <c r="E101" s="57">
        <f t="shared" si="20"/>
        <v>0.35420389262394791</v>
      </c>
      <c r="F101" s="58">
        <f t="shared" si="21"/>
        <v>673.63292905630851</v>
      </c>
      <c r="G101" s="59">
        <f t="shared" si="22"/>
        <v>4644.5373739402739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-0.14971667465358532</v>
      </c>
      <c r="E102" s="57">
        <f t="shared" si="20"/>
        <v>7.0840778524789566E-2</v>
      </c>
      <c r="F102" s="58">
        <f t="shared" si="21"/>
        <v>469.11261546860055</v>
      </c>
      <c r="G102" s="59">
        <f t="shared" si="22"/>
        <v>3234.4188966282882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-2.2670625493956442</v>
      </c>
      <c r="E103" s="57">
        <f t="shared" si="20"/>
        <v>0.13516911156174938</v>
      </c>
      <c r="F103" s="58">
        <f t="shared" si="21"/>
        <v>545.78145530321399</v>
      </c>
      <c r="G103" s="59">
        <f t="shared" si="22"/>
        <v>3763.0321467663875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-2.2670625493956442</v>
      </c>
      <c r="E104" s="57">
        <f t="shared" si="20"/>
        <v>5.4067644624699748E-2</v>
      </c>
      <c r="F104" s="58">
        <f t="shared" si="21"/>
        <v>439.62199039021192</v>
      </c>
      <c r="G104" s="59">
        <f t="shared" si="22"/>
        <v>3031.0881144628174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-2.2670625493956442</v>
      </c>
      <c r="E105" s="57">
        <f t="shared" si="20"/>
        <v>2.7033822312349857E-2</v>
      </c>
      <c r="F105" s="58">
        <f t="shared" si="21"/>
        <v>369.77080692173365</v>
      </c>
      <c r="G105" s="59">
        <f t="shared" si="22"/>
        <v>2549.4809687316924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-2.2670625493956442</v>
      </c>
      <c r="E106" s="57">
        <f t="shared" si="20"/>
        <v>5.4067644624699743E-3</v>
      </c>
      <c r="F106" s="58">
        <f t="shared" si="21"/>
        <v>241.05049554500221</v>
      </c>
      <c r="G106" s="59">
        <f t="shared" si="22"/>
        <v>1661.9853146638593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-2.2670625493956442</v>
      </c>
      <c r="E107" s="57">
        <f t="shared" si="20"/>
        <v>2.7033822312349867E-3</v>
      </c>
      <c r="F107" s="58">
        <f t="shared" si="21"/>
        <v>198.76728779943994</v>
      </c>
      <c r="G107" s="59">
        <f t="shared" si="22"/>
        <v>1370.4527452280665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-2.2670625493956442</v>
      </c>
      <c r="E108" s="57">
        <f t="shared" si="20"/>
        <v>5.4067644624699717E-4</v>
      </c>
      <c r="F108" s="58">
        <f t="shared" si="21"/>
        <v>125.71869528999707</v>
      </c>
      <c r="G108" s="59">
        <f t="shared" si="22"/>
        <v>866.80023153766024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-4.1689646123709156</v>
      </c>
      <c r="E109" s="57">
        <f t="shared" si="20"/>
        <v>1.6942418153543281E-3</v>
      </c>
      <c r="F109" s="58">
        <f t="shared" si="21"/>
        <v>174.26143058630623</v>
      </c>
      <c r="G109" s="59">
        <f t="shared" si="22"/>
        <v>1201.4907411492406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-4.1689646123709156</v>
      </c>
      <c r="E110" s="57">
        <f t="shared" si="20"/>
        <v>6.7769672614173126E-4</v>
      </c>
      <c r="F110" s="58">
        <f t="shared" si="21"/>
        <v>134.17160775942025</v>
      </c>
      <c r="G110" s="59">
        <f t="shared" si="22"/>
        <v>925.08103431534039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-4.1689646123709156</v>
      </c>
      <c r="E111" s="57">
        <f t="shared" si="20"/>
        <v>3.3884836307086557E-4</v>
      </c>
      <c r="F111" s="58">
        <f t="shared" si="21"/>
        <v>110.02891559716153</v>
      </c>
      <c r="G111" s="59">
        <f t="shared" si="22"/>
        <v>758.62296610268538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-4.1689646123709156</v>
      </c>
      <c r="E112" s="57">
        <f t="shared" si="20"/>
        <v>6.776967261417312E-5</v>
      </c>
      <c r="F112" s="58">
        <f t="shared" si="21"/>
        <v>69.899819479182753</v>
      </c>
      <c r="G112" s="59">
        <f t="shared" si="22"/>
        <v>481.94247935229004</v>
      </c>
    </row>
    <row r="113" spans="1:7" x14ac:dyDescent="0.25">
      <c r="A113" s="23">
        <v>54.444444444444443</v>
      </c>
      <c r="B113" s="8">
        <v>130</v>
      </c>
      <c r="C113" s="8">
        <v>0.5</v>
      </c>
      <c r="D113" s="56">
        <f t="shared" si="19"/>
        <v>-4.1689646123709156</v>
      </c>
      <c r="E113" s="57">
        <f t="shared" si="20"/>
        <v>3.3884836307086553E-5</v>
      </c>
      <c r="F113" s="58">
        <f t="shared" si="21"/>
        <v>57.862179438635671</v>
      </c>
      <c r="G113" s="59">
        <f t="shared" si="22"/>
        <v>398.94584030632768</v>
      </c>
    </row>
    <row r="114" spans="1:7" x14ac:dyDescent="0.25">
      <c r="A114" s="23">
        <v>54.444444444444443</v>
      </c>
      <c r="B114" s="8">
        <v>130</v>
      </c>
      <c r="C114" s="8">
        <v>0.1</v>
      </c>
      <c r="D114" s="56">
        <f t="shared" si="19"/>
        <v>-4.1689646123709156</v>
      </c>
      <c r="E114" s="57">
        <f t="shared" si="20"/>
        <v>6.7769672614173037E-6</v>
      </c>
      <c r="F114" s="58">
        <f t="shared" si="21"/>
        <v>38.205158979159506</v>
      </c>
      <c r="G114" s="59">
        <f t="shared" si="22"/>
        <v>263.41540192314977</v>
      </c>
    </row>
    <row r="115" spans="1:7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1095.7537510319764</v>
      </c>
      <c r="G115" s="67">
        <f t="shared" si="22"/>
        <v>7554.9591324652292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7481-0E2F-4891-ACA8-79E971246455}">
  <dimension ref="A1:CJ115"/>
  <sheetViews>
    <sheetView view="pageBreakPreview" topLeftCell="A19" zoomScale="80" zoomScaleNormal="70" zoomScaleSheetLayoutView="80" workbookViewId="0">
      <selection activeCell="I28" sqref="I28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9.42578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113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2.6469999999999998</v>
      </c>
      <c r="F14" s="8" t="s">
        <v>14</v>
      </c>
      <c r="G14" s="60" t="s">
        <v>114</v>
      </c>
      <c r="H14" s="16">
        <v>4.3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5.5</v>
      </c>
      <c r="F15" s="8" t="s">
        <v>24</v>
      </c>
      <c r="G15" s="60" t="s">
        <v>115</v>
      </c>
      <c r="H15" s="16">
        <v>4.5</v>
      </c>
      <c r="M15" s="4" t="str">
        <f t="shared" ref="M15:N17" si="0">G14</f>
        <v>2A</v>
      </c>
      <c r="N15" s="18">
        <f t="shared" si="0"/>
        <v>4.3</v>
      </c>
      <c r="O15" s="4">
        <f>$B$14</f>
        <v>2.6469999999999998</v>
      </c>
      <c r="P15" s="20">
        <f>$B$15</f>
        <v>5.5</v>
      </c>
      <c r="Q15" s="21">
        <f>$B$16</f>
        <v>2.468</v>
      </c>
      <c r="R15" s="21">
        <f t="shared" ref="R15:R17" si="1">((Q15*(N15-100))/-100)</f>
        <v>2.3618760000000001</v>
      </c>
      <c r="S15" s="18">
        <f t="shared" ref="S15:S17" si="2">100-((R15*(100-P15))/O15)</f>
        <v>15.679153003400074</v>
      </c>
      <c r="T15" s="18">
        <f t="shared" ref="T15:T17" si="3">100*((S15-N15)/S15)</f>
        <v>72.575049181116285</v>
      </c>
      <c r="U15" s="18"/>
      <c r="W15" s="18"/>
    </row>
    <row r="16" spans="1:23" x14ac:dyDescent="0.25">
      <c r="A16" s="8" t="s">
        <v>25</v>
      </c>
      <c r="B16" s="22">
        <v>2.468</v>
      </c>
      <c r="F16" s="8" t="s">
        <v>26</v>
      </c>
      <c r="G16" s="60" t="s">
        <v>111</v>
      </c>
      <c r="H16" s="16">
        <v>4.2</v>
      </c>
      <c r="M16" s="4" t="str">
        <f t="shared" si="0"/>
        <v>2B</v>
      </c>
      <c r="N16" s="18">
        <f t="shared" si="0"/>
        <v>4.5</v>
      </c>
      <c r="O16" s="4">
        <f t="shared" ref="O16:O17" si="4">$B$14</f>
        <v>2.6469999999999998</v>
      </c>
      <c r="P16" s="20">
        <f t="shared" ref="P16:P17" si="5">$B$15</f>
        <v>5.5</v>
      </c>
      <c r="Q16" s="21">
        <f t="shared" ref="Q16:Q17" si="6">$B$16</f>
        <v>2.468</v>
      </c>
      <c r="R16" s="21">
        <f t="shared" si="1"/>
        <v>2.3569399999999998</v>
      </c>
      <c r="S16" s="18">
        <f t="shared" si="2"/>
        <v>15.855372119380434</v>
      </c>
      <c r="T16" s="18">
        <f t="shared" si="3"/>
        <v>71.618452306776632</v>
      </c>
      <c r="U16" s="18"/>
    </row>
    <row r="17" spans="1:88" x14ac:dyDescent="0.25">
      <c r="A17" s="8" t="s">
        <v>21</v>
      </c>
      <c r="B17" s="23">
        <f>AVERAGE(S15:S17)</f>
        <v>15.708522856063468</v>
      </c>
      <c r="M17" s="4" t="str">
        <f t="shared" si="0"/>
        <v>2C</v>
      </c>
      <c r="N17" s="18">
        <f t="shared" si="0"/>
        <v>4.2</v>
      </c>
      <c r="O17" s="4">
        <f t="shared" si="4"/>
        <v>2.6469999999999998</v>
      </c>
      <c r="P17" s="20">
        <f t="shared" si="5"/>
        <v>5.5</v>
      </c>
      <c r="Q17" s="21">
        <f t="shared" si="6"/>
        <v>2.468</v>
      </c>
      <c r="R17" s="21">
        <f t="shared" si="1"/>
        <v>2.364344</v>
      </c>
      <c r="S17" s="18">
        <f t="shared" si="2"/>
        <v>15.591043445409895</v>
      </c>
      <c r="T17" s="18">
        <f t="shared" si="3"/>
        <v>73.06145663241989</v>
      </c>
    </row>
    <row r="18" spans="1:88" x14ac:dyDescent="0.25">
      <c r="A18" s="8" t="s">
        <v>22</v>
      </c>
      <c r="B18" s="23">
        <f>AVERAGE(T15:T17)</f>
        <v>72.418319373437598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1533.0488907657</v>
      </c>
      <c r="D23" s="16">
        <v>11.73</v>
      </c>
      <c r="E23" s="16">
        <v>1521.4458717248999</v>
      </c>
      <c r="F23" s="16">
        <v>11.71</v>
      </c>
      <c r="G23" s="16">
        <v>1576.4151744306901</v>
      </c>
      <c r="H23" s="16">
        <v>11.33</v>
      </c>
      <c r="M23" s="4">
        <v>20</v>
      </c>
      <c r="N23" s="29">
        <f>(20+(B18*3*145000)/(B17))^0.58/(650+((B18*3*145000)/B17)^0.58)</f>
        <v>0.87431487695023591</v>
      </c>
      <c r="O23" s="18">
        <f>(N23*(4200000*(1-B17/100)+3*145000*(B17*B18)/10000)+(1-N23)/((1-B17/100)/4200000+B17/(3*B18*145000)))/1000</f>
        <v>3318.2697634672468</v>
      </c>
      <c r="P23" s="29">
        <f>LOG10(O23)</f>
        <v>3.5209116897121215</v>
      </c>
      <c r="R23" s="30">
        <f>(1/6*T37)^0.5</f>
        <v>1.7414577770619687E-2</v>
      </c>
      <c r="S23" s="30">
        <f>1-R23^2/Q37^2*12/6</f>
        <v>0.99701218783910261</v>
      </c>
      <c r="T23" s="30">
        <f>(1-8*R23^2/9*Q37^2)</f>
        <v>0.99994527623375107</v>
      </c>
    </row>
    <row r="24" spans="1:88" x14ac:dyDescent="0.25">
      <c r="A24" s="8">
        <v>4</v>
      </c>
      <c r="B24" s="23">
        <v>1</v>
      </c>
      <c r="C24" s="16">
        <v>1970.4827086038599</v>
      </c>
      <c r="D24" s="16">
        <v>9.61</v>
      </c>
      <c r="E24" s="16">
        <v>1960.03999146714</v>
      </c>
      <c r="F24" s="16">
        <v>9.5</v>
      </c>
      <c r="G24" s="16">
        <v>2030.38329440199</v>
      </c>
      <c r="H24" s="16">
        <v>9.3699999999999992</v>
      </c>
    </row>
    <row r="25" spans="1:88" x14ac:dyDescent="0.25">
      <c r="A25" s="8">
        <v>4</v>
      </c>
      <c r="B25" s="23">
        <v>10</v>
      </c>
      <c r="C25" s="16">
        <v>2442.5805458264099</v>
      </c>
      <c r="D25" s="16">
        <v>8.1999999999999993</v>
      </c>
      <c r="E25" s="16">
        <v>2430.68745130959</v>
      </c>
      <c r="F25" s="16">
        <v>8.0399999999999991</v>
      </c>
      <c r="G25" s="16">
        <v>2525.6871697061401</v>
      </c>
      <c r="H25" s="16">
        <v>7.95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566.37236692905003</v>
      </c>
      <c r="D26" s="16">
        <v>22.82</v>
      </c>
      <c r="E26" s="16">
        <v>519.67021528983003</v>
      </c>
      <c r="F26" s="16">
        <v>23.68</v>
      </c>
      <c r="G26" s="16">
        <v>586.24253703642</v>
      </c>
      <c r="H26" s="16">
        <v>22.92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916.20339100916999</v>
      </c>
      <c r="D27" s="16">
        <v>18.32</v>
      </c>
      <c r="E27" s="16">
        <v>850.06618247661004</v>
      </c>
      <c r="F27" s="16">
        <v>19.12</v>
      </c>
      <c r="G27" s="16">
        <v>942.02010837495004</v>
      </c>
      <c r="H27" s="16">
        <v>18.23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1354.94254848942</v>
      </c>
      <c r="D28" s="16">
        <v>14.53</v>
      </c>
      <c r="E28" s="16">
        <v>1285.1793965066099</v>
      </c>
      <c r="F28" s="16">
        <v>15.19</v>
      </c>
      <c r="G28" s="16">
        <v>1395.8431906082401</v>
      </c>
      <c r="H28" s="16">
        <v>14.28</v>
      </c>
      <c r="I28" s="3"/>
      <c r="J28" s="3"/>
      <c r="K28" s="3"/>
      <c r="L28" s="3"/>
      <c r="M28" s="32">
        <f t="shared" ref="M28:N36" si="7">A23</f>
        <v>4</v>
      </c>
      <c r="N28" s="32">
        <f t="shared" si="7"/>
        <v>0.1</v>
      </c>
      <c r="O28" s="33">
        <f>C40</f>
        <v>1543.6366456404301</v>
      </c>
      <c r="P28" s="33">
        <f>E40</f>
        <v>11.590000000000002</v>
      </c>
      <c r="Q28" s="34">
        <f>LOG10(O28)</f>
        <v>3.1885450800901558</v>
      </c>
      <c r="R28" s="34">
        <f t="shared" ref="R28:R33" si="8">$N$42+($P$23-$N$42)/(1+EXP($O$42+$P$42*(LOG10(N28)+$Q$42/19.147142*(1/(273.2+M28)-1/($M$23+273.2)))))</f>
        <v>3.1728362867571187</v>
      </c>
      <c r="S28" s="34">
        <f>Q28-R28</f>
        <v>1.5708793333037097E-2</v>
      </c>
      <c r="T28" s="35">
        <f>S28^2</f>
        <v>2.4676618798007073E-4</v>
      </c>
      <c r="U28" s="34">
        <f>$Q$42/19.147143*(1/(M28+273.15)-1/($M$23+273.15))</f>
        <v>2.1386998361537395</v>
      </c>
      <c r="V28" s="34">
        <f>LOG10(N28)+U28</f>
        <v>1.1386998361537395</v>
      </c>
      <c r="W28" s="34">
        <f>10^V28</f>
        <v>13.762579355816218</v>
      </c>
    </row>
    <row r="29" spans="1:88" s="4" customFormat="1" x14ac:dyDescent="0.25">
      <c r="A29" s="15">
        <v>40</v>
      </c>
      <c r="B29" s="23">
        <v>0.1</v>
      </c>
      <c r="C29" s="16">
        <v>112.636307338566</v>
      </c>
      <c r="D29" s="16">
        <v>31.91</v>
      </c>
      <c r="E29" s="16">
        <v>104.499690236205</v>
      </c>
      <c r="F29" s="16">
        <v>29.58</v>
      </c>
      <c r="G29" s="16">
        <v>117.393545145294</v>
      </c>
      <c r="H29" s="16">
        <v>30.51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1986.9686648243303</v>
      </c>
      <c r="P29" s="33">
        <f>E39</f>
        <v>9.4933333333333323</v>
      </c>
      <c r="Q29" s="34">
        <f t="shared" ref="Q29:Q33" si="9">LOG10(O29)</f>
        <v>3.2981910181912499</v>
      </c>
      <c r="R29" s="34">
        <f t="shared" si="8"/>
        <v>3.292629507478261</v>
      </c>
      <c r="S29" s="34">
        <f t="shared" ref="S29:S33" si="10">Q29-R29</f>
        <v>5.5615107129889374E-3</v>
      </c>
      <c r="T29" s="35">
        <f t="shared" ref="T29:T33" si="11">S29^2</f>
        <v>3.0930401410690722E-5</v>
      </c>
      <c r="U29" s="34">
        <f t="shared" ref="U29:U33" si="12">$Q$42/19.147143*(1/(M29+273.15)-1/($M$23+273.15))</f>
        <v>2.1386998361537395</v>
      </c>
      <c r="V29" s="34">
        <f t="shared" ref="V29:V33" si="13">LOG10(N29)+U29</f>
        <v>2.1386998361537395</v>
      </c>
      <c r="W29" s="34">
        <f t="shared" ref="W29:W33" si="14">10^V29</f>
        <v>137.6257935581622</v>
      </c>
    </row>
    <row r="30" spans="1:88" s="4" customFormat="1" x14ac:dyDescent="0.25">
      <c r="A30" s="15">
        <v>40</v>
      </c>
      <c r="B30" s="23">
        <v>1</v>
      </c>
      <c r="C30" s="16">
        <v>236.70158843231999</v>
      </c>
      <c r="D30" s="16">
        <v>30.26</v>
      </c>
      <c r="E30" s="16">
        <v>216.25126737291001</v>
      </c>
      <c r="F30" s="16">
        <v>29.12</v>
      </c>
      <c r="G30" s="16">
        <v>240.03745640655001</v>
      </c>
      <c r="H30" s="16">
        <v>29.65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2466.3183889473798</v>
      </c>
      <c r="P30" s="33">
        <f>E38</f>
        <v>8.0633333333333326</v>
      </c>
      <c r="Q30" s="34">
        <f t="shared" si="9"/>
        <v>3.3920491410501818</v>
      </c>
      <c r="R30" s="34">
        <f t="shared" si="8"/>
        <v>3.3739053962695138</v>
      </c>
      <c r="S30" s="34">
        <f t="shared" si="10"/>
        <v>1.8143744780668047E-2</v>
      </c>
      <c r="T30" s="35">
        <f t="shared" si="11"/>
        <v>3.2919547466601901E-4</v>
      </c>
      <c r="U30" s="34">
        <f t="shared" si="12"/>
        <v>2.1386998361537395</v>
      </c>
      <c r="V30" s="34">
        <f t="shared" si="13"/>
        <v>3.1386998361537395</v>
      </c>
      <c r="W30" s="34">
        <f t="shared" si="14"/>
        <v>1376.2579355816224</v>
      </c>
    </row>
    <row r="31" spans="1:88" s="4" customFormat="1" x14ac:dyDescent="0.25">
      <c r="A31" s="15">
        <v>40</v>
      </c>
      <c r="B31" s="23">
        <v>10</v>
      </c>
      <c r="C31" s="16">
        <v>467.60166734424001</v>
      </c>
      <c r="D31" s="16">
        <v>26.21</v>
      </c>
      <c r="E31" s="16">
        <v>431.05215736572001</v>
      </c>
      <c r="F31" s="16">
        <v>25.57</v>
      </c>
      <c r="G31" s="16">
        <v>472.96806365061002</v>
      </c>
      <c r="H31" s="16">
        <v>25.58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557.42837308509991</v>
      </c>
      <c r="P31" s="33">
        <f>E43</f>
        <v>23.14</v>
      </c>
      <c r="Q31" s="34">
        <f t="shared" si="9"/>
        <v>2.7461890705141467</v>
      </c>
      <c r="R31" s="34">
        <f t="shared" si="8"/>
        <v>2.7453011747443092</v>
      </c>
      <c r="S31" s="34">
        <f t="shared" si="10"/>
        <v>8.8789576983749896E-4</v>
      </c>
      <c r="T31" s="35">
        <f t="shared" si="11"/>
        <v>7.883588980953249E-7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902.76322728691002</v>
      </c>
      <c r="P32" s="33">
        <f>E42</f>
        <v>18.556666666666668</v>
      </c>
      <c r="Q32" s="34">
        <f t="shared" si="9"/>
        <v>2.9555738604282809</v>
      </c>
      <c r="R32" s="34">
        <f t="shared" si="8"/>
        <v>2.9764026234520062</v>
      </c>
      <c r="S32" s="34">
        <f t="shared" si="10"/>
        <v>-2.0828763023725383E-2</v>
      </c>
      <c r="T32" s="35">
        <f t="shared" si="11"/>
        <v>4.3383736909850975E-4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1345.32171186809</v>
      </c>
      <c r="P33" s="33">
        <f>E41</f>
        <v>14.666666666666666</v>
      </c>
      <c r="Q33" s="34">
        <f t="shared" si="9"/>
        <v>3.1288261512396409</v>
      </c>
      <c r="R33" s="34">
        <f t="shared" si="8"/>
        <v>3.1526664006386422</v>
      </c>
      <c r="S33" s="34">
        <f t="shared" si="10"/>
        <v>-2.3840249399001312E-2</v>
      </c>
      <c r="T33" s="35">
        <f t="shared" si="11"/>
        <v>5.6835749140658244E-4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0.1</v>
      </c>
      <c r="O34" s="33">
        <f>C46</f>
        <v>111.509847573355</v>
      </c>
      <c r="P34" s="33">
        <f>E46</f>
        <v>30.666666666666668</v>
      </c>
      <c r="Q34" s="34">
        <f>LOG10(O34)</f>
        <v>2.0473132221637331</v>
      </c>
      <c r="R34" s="34">
        <f>$N$42+($P$23-$N$42)/(1+EXP($O$42+$P$42*(LOG10(N34)+$Q$42/19.147142*(1/(273.2+M34)-1/($M$23+273.2)))))</f>
        <v>2.0525806400272053</v>
      </c>
      <c r="S34" s="34">
        <f>Q34-R34</f>
        <v>-5.2674178634721791E-3</v>
      </c>
      <c r="T34" s="35">
        <f>S34^2</f>
        <v>2.7745690948425817E-5</v>
      </c>
      <c r="U34" s="34">
        <f>$Q$42/19.147143*(1/(M34+273.15)-1/($M$23+273.15))</f>
        <v>-2.3660412725132125</v>
      </c>
      <c r="V34" s="34">
        <f>LOG10(N34)+U34</f>
        <v>-3.3660412725132125</v>
      </c>
      <c r="W34" s="34">
        <f>10^V34</f>
        <v>4.3048569799646551E-4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1</v>
      </c>
      <c r="O35" s="33">
        <f>C45</f>
        <v>230.99677073726002</v>
      </c>
      <c r="P35" s="33">
        <f>E45</f>
        <v>29.676666666666666</v>
      </c>
      <c r="Q35" s="34">
        <f>LOG10(O35)</f>
        <v>2.363605908633307</v>
      </c>
      <c r="R35" s="34">
        <f>$N$42+($P$23-$N$42)/(1+EXP($O$42+$P$42*(LOG10(N35)+$Q$42/19.147142*(1/(273.2+M35)-1/($M$23+273.2)))))</f>
        <v>2.3572761443700485</v>
      </c>
      <c r="S35" s="34">
        <f>Q35-R35</f>
        <v>6.3297642632584861E-3</v>
      </c>
      <c r="T35" s="35">
        <f>S35^2</f>
        <v>4.0065915628424247E-5</v>
      </c>
      <c r="U35" s="34">
        <f>$Q$42/19.147143*(1/(M35+273.15)-1/($M$23+273.15))</f>
        <v>-2.3660412725132125</v>
      </c>
      <c r="V35" s="34">
        <f>LOG10(N35)+U35</f>
        <v>-2.3660412725132125</v>
      </c>
      <c r="W35" s="34">
        <f>10^V35</f>
        <v>4.3048569799646564E-3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10</v>
      </c>
      <c r="O36" s="33">
        <f>C44</f>
        <v>457.20729612018999</v>
      </c>
      <c r="P36" s="33">
        <f>E44</f>
        <v>25.786666666666665</v>
      </c>
      <c r="Q36" s="34">
        <f>LOG10(O36)</f>
        <v>2.6601131522557351</v>
      </c>
      <c r="R36" s="34">
        <f>$N$42+($P$23-$N$42)/(1+EXP($O$42+$P$42*(LOG10(N36)+$Q$42/19.147142*(1/(273.2+M36)-1/($M$23+273.2)))))</f>
        <v>2.6482002087262395</v>
      </c>
      <c r="S36" s="34">
        <f>Q36-R36</f>
        <v>1.1912943529495568E-2</v>
      </c>
      <c r="T36" s="35">
        <f>S36^2</f>
        <v>1.4191822353695031E-4</v>
      </c>
      <c r="U36" s="34">
        <f>$Q$42/19.147143*(1/(M36+273.15)-1/($M$23+273.15))</f>
        <v>-2.3660412725132125</v>
      </c>
      <c r="V36" s="34">
        <f>LOG10(N36)+U36</f>
        <v>-1.3660412725132125</v>
      </c>
      <c r="W36" s="34">
        <f>10^V36</f>
        <v>4.3048569799646573E-2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P37" s="32" t="s">
        <v>68</v>
      </c>
      <c r="Q37" s="35">
        <f>STDEV(Q28:Q36)</f>
        <v>0.45055861867929797</v>
      </c>
      <c r="S37" s="32" t="s">
        <v>69</v>
      </c>
      <c r="T37" s="35">
        <f>SUM(T28:T36)</f>
        <v>1.8196051135737682E-3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2466.3183889473798</v>
      </c>
      <c r="D38" s="23">
        <f>(STDEV(C25,E25,G25)/C38)*100</f>
        <v>2.098577920850806</v>
      </c>
      <c r="E38" s="23">
        <f>AVERAGE(D25,F25,H25)</f>
        <v>8.0633333333333326</v>
      </c>
      <c r="F38" s="23">
        <f>STDEV(D25,F25,H25)</f>
        <v>0.12662279942148347</v>
      </c>
      <c r="G38" s="3"/>
      <c r="H38" s="3"/>
      <c r="I38" s="26" t="s">
        <v>32</v>
      </c>
      <c r="J38" s="8">
        <v>20</v>
      </c>
      <c r="K38" s="3"/>
      <c r="L38" s="3"/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1986.9686648243303</v>
      </c>
      <c r="D39" s="23">
        <f>(STDEV(C24,E24,G24)/C39)*100</f>
        <v>1.9103971507752626</v>
      </c>
      <c r="E39" s="23">
        <f>AVERAGE(D24,F24,H24)</f>
        <v>9.4933333333333323</v>
      </c>
      <c r="F39" s="23">
        <f>STDEV(D24,F24,H24)</f>
        <v>0.12013880860626745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1543.6366456404301</v>
      </c>
      <c r="D40" s="23">
        <f>(STDEV(C23,E23,G23)/C40)*100</f>
        <v>1.8769836014473911</v>
      </c>
      <c r="E40" s="23">
        <f>AVERAGE(D23,F23,H23)</f>
        <v>11.590000000000002</v>
      </c>
      <c r="F40" s="23">
        <f>STDEV(D23,F23,H23)</f>
        <v>0.22538855339169322</v>
      </c>
      <c r="G40" s="3"/>
      <c r="H40" s="3"/>
      <c r="I40" s="12" t="s">
        <v>94</v>
      </c>
      <c r="J40" s="59">
        <f>G115</f>
        <v>8785.9617173527204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1345.32171186809</v>
      </c>
      <c r="D41" s="23">
        <f>(STDEV(C28,E28,G28)/C41)*100</f>
        <v>4.1592794612934014</v>
      </c>
      <c r="E41" s="23">
        <f>AVERAGE(D28,F28,H28)</f>
        <v>14.666666666666666</v>
      </c>
      <c r="F41" s="23">
        <f>STDEV(D28,F28,H28)</f>
        <v>0.47014182257413922</v>
      </c>
      <c r="G41" s="3"/>
      <c r="H41" s="3"/>
      <c r="I41" s="69" t="s">
        <v>35</v>
      </c>
      <c r="J41" s="62">
        <f>AVERAGE(E41:E42)</f>
        <v>16.611666666666668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902.76322728691002</v>
      </c>
      <c r="D42" s="23">
        <f>(STDEV(C27,E27,G27)/C42)*100</f>
        <v>5.2535828685845667</v>
      </c>
      <c r="E42" s="23">
        <f>AVERAGE(D27,F27,H27)</f>
        <v>18.556666666666668</v>
      </c>
      <c r="F42" s="23">
        <f>STDEV(D27,F27,H27)</f>
        <v>0.489931968066316</v>
      </c>
      <c r="G42" s="3"/>
      <c r="H42" s="3"/>
      <c r="I42" s="32" t="s">
        <v>105</v>
      </c>
      <c r="J42" s="70">
        <f>(COS(RADIANS(J41)))^2</f>
        <v>0.91827062625914657</v>
      </c>
      <c r="K42" s="3"/>
      <c r="L42" s="3"/>
      <c r="M42" s="38" t="s">
        <v>78</v>
      </c>
      <c r="N42" s="39">
        <f>N43</f>
        <v>0.93685708963887537</v>
      </c>
      <c r="O42" s="39">
        <f>O43*-1</f>
        <v>-1.320597691627226</v>
      </c>
      <c r="P42" s="39">
        <f>P43*-1</f>
        <v>-0.47402603902359419</v>
      </c>
      <c r="Q42" s="40">
        <f>Q43*200000</f>
        <v>207940.27585333382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557.42837308509991</v>
      </c>
      <c r="D43" s="23">
        <f>(STDEV(C26,E26,G26)/C43)*100</f>
        <v>6.1309221564743419</v>
      </c>
      <c r="E43" s="23">
        <f>AVERAGE(D26,F26,H26)</f>
        <v>23.14</v>
      </c>
      <c r="F43" s="23">
        <f>STDEV(D26,F26,H26)</f>
        <v>0.47031904065219321</v>
      </c>
      <c r="G43" s="3"/>
      <c r="H43" s="3"/>
      <c r="I43" s="32" t="s">
        <v>106</v>
      </c>
      <c r="J43" s="70">
        <f>SIN(RADIANS(J41))</f>
        <v>0.28588349679695302</v>
      </c>
      <c r="K43" s="3"/>
      <c r="L43" s="3"/>
      <c r="M43" s="38" t="s">
        <v>80</v>
      </c>
      <c r="N43" s="39">
        <v>0.93685708963887537</v>
      </c>
      <c r="O43" s="39">
        <v>1.320597691627226</v>
      </c>
      <c r="P43" s="39">
        <v>0.47402603902359419</v>
      </c>
      <c r="Q43" s="41">
        <v>1.0397013792666692</v>
      </c>
      <c r="R43" s="4" t="s">
        <v>81</v>
      </c>
    </row>
    <row r="44" spans="1:23" s="4" customFormat="1" ht="18" x14ac:dyDescent="0.35">
      <c r="A44" s="8">
        <f>A29</f>
        <v>40</v>
      </c>
      <c r="B44" s="23">
        <f>B31</f>
        <v>10</v>
      </c>
      <c r="C44" s="23">
        <f>AVERAGE(C31,E31,G31)</f>
        <v>457.20729612018999</v>
      </c>
      <c r="D44" s="23">
        <f>(STDEV(C31,E31,G31)/C44)*100</f>
        <v>4.9888495987013108</v>
      </c>
      <c r="E44" s="23">
        <f>AVERAGE(D31,F31,H31)</f>
        <v>25.786666666666665</v>
      </c>
      <c r="F44" s="23">
        <f>STDEV(D31,F31,H31)</f>
        <v>0.36665151483845526</v>
      </c>
      <c r="G44" s="3"/>
      <c r="H44" s="3"/>
      <c r="I44" s="12" t="s">
        <v>107</v>
      </c>
      <c r="J44" s="59">
        <f>(J40*J42)/J43</f>
        <v>28220.903475979721</v>
      </c>
      <c r="K44" s="3"/>
      <c r="L44" s="3"/>
    </row>
    <row r="45" spans="1:23" s="4" customFormat="1" x14ac:dyDescent="0.25">
      <c r="A45" s="8">
        <f>A30</f>
        <v>40</v>
      </c>
      <c r="B45" s="23">
        <f>B30</f>
        <v>1</v>
      </c>
      <c r="C45" s="23">
        <f>AVERAGE(C30,E30,G30)</f>
        <v>230.99677073726002</v>
      </c>
      <c r="D45" s="23">
        <f>(STDEV(C30,E30,G30)/C45)*100</f>
        <v>5.5751633664792317</v>
      </c>
      <c r="E45" s="23">
        <f>AVERAGE(D30,F30,H30)</f>
        <v>29.676666666666666</v>
      </c>
      <c r="F45" s="23">
        <f>STDEV(D30,F30,H30)</f>
        <v>0.57046764442283115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8">
        <f>A31</f>
        <v>40</v>
      </c>
      <c r="B46" s="23">
        <f>B29</f>
        <v>0.1</v>
      </c>
      <c r="C46" s="23">
        <f>AVERAGE(C29,E29,G29)</f>
        <v>111.509847573355</v>
      </c>
      <c r="D46" s="23">
        <f>(STDEV(C29,E29,G29)/C46)*100</f>
        <v>5.8473031269610667</v>
      </c>
      <c r="E46" s="23">
        <f>AVERAGE(D29,F29,H29)</f>
        <v>30.666666666666668</v>
      </c>
      <c r="F46" s="23">
        <f>STDEV(D29,F29,H29)</f>
        <v>1.1728739631065801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3.5054508885355338</v>
      </c>
      <c r="O46" s="44">
        <f t="shared" ref="O46" si="17">10^N46</f>
        <v>3202.2179566964974</v>
      </c>
    </row>
    <row r="47" spans="1:23" s="4" customFormat="1" x14ac:dyDescent="0.25">
      <c r="A47" s="3"/>
      <c r="B47" s="45"/>
      <c r="C47" s="24"/>
      <c r="D47" s="24"/>
      <c r="E47" s="24"/>
      <c r="F47" s="24"/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3.4961644985865594</v>
      </c>
      <c r="O47" s="44">
        <f>10^N47</f>
        <v>3134.4727499865944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3.4813861537718225</v>
      </c>
      <c r="O48" s="44">
        <f>10^N48</f>
        <v>3029.6060108635152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3.4579995252615756</v>
      </c>
      <c r="O49" s="44">
        <f t="shared" ref="O49:O62" si="18">10^N49</f>
        <v>2870.7774439026075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3.421317011465201</v>
      </c>
      <c r="O50" s="44">
        <f t="shared" si="18"/>
        <v>2638.2564675604312</v>
      </c>
    </row>
    <row r="51" spans="1:15" s="4" customFormat="1" x14ac:dyDescent="0.25">
      <c r="A51" s="24">
        <f>O23</f>
        <v>3318.2697634672468</v>
      </c>
      <c r="B51" s="45">
        <f>10^N42</f>
        <v>8.6468333643171853</v>
      </c>
      <c r="C51" s="46">
        <f>O42</f>
        <v>-1.320597691627226</v>
      </c>
      <c r="D51" s="46">
        <f>P42</f>
        <v>-0.47402603902359419</v>
      </c>
      <c r="E51" s="47">
        <f>Q42</f>
        <v>207940.27585333382</v>
      </c>
      <c r="F51" s="48">
        <f>S23</f>
        <v>0.99701218783910261</v>
      </c>
      <c r="G51" s="45">
        <f>R23/Q37</f>
        <v>3.8651081232595766E-2</v>
      </c>
      <c r="H51" s="3"/>
      <c r="I51" s="3"/>
      <c r="J51" s="3"/>
      <c r="K51" s="3"/>
      <c r="L51" s="3"/>
      <c r="M51" s="43">
        <v>1000</v>
      </c>
      <c r="N51" s="21">
        <f t="shared" si="16"/>
        <v>3.3645721790451204</v>
      </c>
      <c r="O51" s="44">
        <f t="shared" si="18"/>
        <v>2315.1129220911084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3.278649156501817</v>
      </c>
      <c r="O52" s="44">
        <f t="shared" si="18"/>
        <v>1899.5431196919885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3.1526664006386422</v>
      </c>
      <c r="O53" s="44">
        <f t="shared" si="18"/>
        <v>1421.2366576930742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2.9764026234520062</v>
      </c>
      <c r="O54" s="44">
        <f t="shared" si="18"/>
        <v>947.11480070960306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2.7453011747443092</v>
      </c>
      <c r="O55" s="44">
        <f t="shared" si="18"/>
        <v>556.28989972199838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2.4668084905719638</v>
      </c>
      <c r="O56" s="44">
        <f t="shared" si="18"/>
        <v>292.96011036858386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2.1633828527296619</v>
      </c>
      <c r="O57" s="44">
        <f t="shared" si="18"/>
        <v>145.67427076808789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1.8670320150987285</v>
      </c>
      <c r="O58" s="44">
        <f t="shared" si="18"/>
        <v>73.626137083383128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1.6069409061390663</v>
      </c>
      <c r="O59" s="44">
        <f t="shared" si="18"/>
        <v>40.45208453498843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1.3992429191746181</v>
      </c>
      <c r="O60" s="44">
        <f t="shared" si="18"/>
        <v>25.075114174782737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1.2455398767733652</v>
      </c>
      <c r="O61" s="18">
        <f t="shared" si="18"/>
        <v>17.601102691154345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1.1380838825787674</v>
      </c>
      <c r="O62" s="18">
        <f t="shared" si="18"/>
        <v>13.7430739242073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N2-1 RH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4.2234045634245474</v>
      </c>
      <c r="E85" s="57">
        <f>10^(LOG(C85)+D85)</f>
        <v>418162.007551583</v>
      </c>
      <c r="F85" s="58">
        <f>10^($N$42+($P$23-$N$42)/(1+EXP($O$42+$P$42*(LOG10(C85)+$Q$42/19.147142*(1/(273.2+A85)-1/($M$23+273.2))))))</f>
        <v>2976.620165533207</v>
      </c>
      <c r="G85" s="59">
        <f>F85*6.89476</f>
        <v>20523.081652511733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4.2234045634245474</v>
      </c>
      <c r="E86" s="57">
        <f t="shared" ref="E86:E115" si="20">10^(LOG(C86)+D86)</f>
        <v>167264.80302063303</v>
      </c>
      <c r="F86" s="58">
        <f t="shared" ref="F86:F115" si="21">10^($N$42+($P$23-$N$42)/(1+EXP($O$42+$P$42*(LOG10(C86)+$Q$42/19.147142*(1/(273.2+A86)-1/($M$23+273.2))))))</f>
        <v>2911.671700146002</v>
      </c>
      <c r="G86" s="59">
        <f t="shared" ref="G86:G115" si="22">F86*6.89476</f>
        <v>20075.277571298648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4.2234045634245474</v>
      </c>
      <c r="E87" s="57">
        <f t="shared" si="20"/>
        <v>83632.401510316515</v>
      </c>
      <c r="F87" s="58">
        <f t="shared" si="21"/>
        <v>2855.3218410002069</v>
      </c>
      <c r="G87" s="59">
        <f t="shared" si="22"/>
        <v>19686.758816454585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4.2234045634245474</v>
      </c>
      <c r="E88" s="57">
        <f t="shared" si="20"/>
        <v>16726.480302063315</v>
      </c>
      <c r="F88" s="58">
        <f t="shared" si="21"/>
        <v>2697.2039852240955</v>
      </c>
      <c r="G88" s="59">
        <f t="shared" si="22"/>
        <v>18596.574149163684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4.2234045634245474</v>
      </c>
      <c r="E89" s="57">
        <f t="shared" si="20"/>
        <v>8363.2401510316558</v>
      </c>
      <c r="F89" s="58">
        <f t="shared" si="21"/>
        <v>2616.143379838612</v>
      </c>
      <c r="G89" s="59">
        <f t="shared" si="22"/>
        <v>18037.680729576066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4.2234045634245474</v>
      </c>
      <c r="E90" s="57">
        <f t="shared" si="20"/>
        <v>1672.648030206331</v>
      </c>
      <c r="F90" s="58">
        <f t="shared" si="21"/>
        <v>2395.1085118966171</v>
      </c>
      <c r="G90" s="59">
        <f t="shared" si="22"/>
        <v>16513.69836348432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2.0759627690425484</v>
      </c>
      <c r="E91" s="57">
        <f t="shared" si="20"/>
        <v>2977.8497256693313</v>
      </c>
      <c r="F91" s="58">
        <f t="shared" si="21"/>
        <v>2479.9730385686626</v>
      </c>
      <c r="G91" s="59">
        <f t="shared" si="22"/>
        <v>17098.81890740167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2.0759627690425484</v>
      </c>
      <c r="E92" s="57">
        <f t="shared" si="20"/>
        <v>1191.1398902677324</v>
      </c>
      <c r="F92" s="58">
        <f t="shared" si="21"/>
        <v>2342.7667122045741</v>
      </c>
      <c r="G92" s="59">
        <f t="shared" si="22"/>
        <v>16152.814216639608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2.0759627690425484</v>
      </c>
      <c r="E93" s="57">
        <f t="shared" si="20"/>
        <v>595.56994513386621</v>
      </c>
      <c r="F93" s="58">
        <f t="shared" si="21"/>
        <v>2228.9051715725504</v>
      </c>
      <c r="G93" s="59">
        <f t="shared" si="22"/>
        <v>15367.766220751557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2.0759627690425484</v>
      </c>
      <c r="E94" s="57">
        <f t="shared" si="20"/>
        <v>119.11398902677323</v>
      </c>
      <c r="F94" s="58">
        <f t="shared" si="21"/>
        <v>1933.5988661085139</v>
      </c>
      <c r="G94" s="59">
        <f t="shared" si="22"/>
        <v>13331.700118090337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2.0759627690425484</v>
      </c>
      <c r="E95" s="57">
        <f t="shared" si="20"/>
        <v>59.556994513386606</v>
      </c>
      <c r="F95" s="58">
        <f t="shared" si="21"/>
        <v>1795.1733445868881</v>
      </c>
      <c r="G95" s="59">
        <f t="shared" si="22"/>
        <v>12377.289369323893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2.0759627690425484</v>
      </c>
      <c r="E96" s="57">
        <f t="shared" si="20"/>
        <v>11.91139890267732</v>
      </c>
      <c r="F96" s="58">
        <f t="shared" si="21"/>
        <v>1458.0914745722951</v>
      </c>
      <c r="G96" s="59">
        <f t="shared" si="22"/>
        <v>10053.190775222076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-0.13988444514070339</v>
      </c>
      <c r="E97" s="57">
        <f t="shared" si="20"/>
        <v>18.115718498596227</v>
      </c>
      <c r="F97" s="58">
        <f t="shared" si="21"/>
        <v>1547.521597440865</v>
      </c>
      <c r="G97" s="59">
        <f t="shared" si="22"/>
        <v>10669.790009171378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-0.13988444514070339</v>
      </c>
      <c r="E98" s="57">
        <f t="shared" si="20"/>
        <v>7.2462873994384864</v>
      </c>
      <c r="F98" s="58">
        <f t="shared" si="21"/>
        <v>1352.8053677908715</v>
      </c>
      <c r="G98" s="59">
        <f t="shared" si="22"/>
        <v>9327.2683376297882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-0.13988444514070339</v>
      </c>
      <c r="E99" s="57">
        <f t="shared" si="20"/>
        <v>3.6231436997192428</v>
      </c>
      <c r="F99" s="58">
        <f t="shared" si="21"/>
        <v>1206.7784760796919</v>
      </c>
      <c r="G99" s="59">
        <f t="shared" si="22"/>
        <v>8320.4479657352167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-0.13988444514070339</v>
      </c>
      <c r="E100" s="57">
        <f t="shared" si="20"/>
        <v>0.72462873994384847</v>
      </c>
      <c r="F100" s="58">
        <f t="shared" si="21"/>
        <v>885.86717089858246</v>
      </c>
      <c r="G100" s="59">
        <f t="shared" si="22"/>
        <v>6107.8415352247102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-0.13988444514070339</v>
      </c>
      <c r="E101" s="57">
        <f t="shared" si="20"/>
        <v>0.36231436997192423</v>
      </c>
      <c r="F101" s="58">
        <f t="shared" si="21"/>
        <v>760.63735684640756</v>
      </c>
      <c r="G101" s="59">
        <f t="shared" si="22"/>
        <v>5244.4120224903372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-0.13988444514070339</v>
      </c>
      <c r="E102" s="57">
        <f t="shared" si="20"/>
        <v>7.2462873994384849E-2</v>
      </c>
      <c r="F102" s="58">
        <f t="shared" si="21"/>
        <v>511.50614786360035</v>
      </c>
      <c r="G102" s="59">
        <f t="shared" si="22"/>
        <v>3526.7121280440369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-2.1181794716937614</v>
      </c>
      <c r="E103" s="57">
        <f t="shared" si="20"/>
        <v>0.19044103670408952</v>
      </c>
      <c r="F103" s="58">
        <f t="shared" si="21"/>
        <v>653.87893339022241</v>
      </c>
      <c r="G103" s="59">
        <f t="shared" si="22"/>
        <v>4508.3383147815694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-2.1181794716937614</v>
      </c>
      <c r="E104" s="57">
        <f t="shared" si="20"/>
        <v>7.617641468163576E-2</v>
      </c>
      <c r="F104" s="58">
        <f t="shared" si="21"/>
        <v>518.49114501657937</v>
      </c>
      <c r="G104" s="59">
        <f t="shared" si="22"/>
        <v>3574.8720070145105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-2.1181794716937614</v>
      </c>
      <c r="E105" s="57">
        <f t="shared" si="20"/>
        <v>3.808820734081788E-2</v>
      </c>
      <c r="F105" s="58">
        <f t="shared" si="21"/>
        <v>430.08338198629633</v>
      </c>
      <c r="G105" s="59">
        <f t="shared" si="22"/>
        <v>2965.3216987838364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-2.1181794716937614</v>
      </c>
      <c r="E106" s="57">
        <f t="shared" si="20"/>
        <v>7.6176414681635744E-3</v>
      </c>
      <c r="F106" s="58">
        <f t="shared" si="21"/>
        <v>270.32333782181331</v>
      </c>
      <c r="G106" s="59">
        <f t="shared" si="22"/>
        <v>1863.8145366803255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-2.1181794716937614</v>
      </c>
      <c r="E107" s="57">
        <f t="shared" si="20"/>
        <v>3.8088207340817872E-3</v>
      </c>
      <c r="F107" s="58">
        <f t="shared" si="21"/>
        <v>219.33704202803682</v>
      </c>
      <c r="G107" s="59">
        <f t="shared" si="22"/>
        <v>1512.276263893227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-2.1181794716937614</v>
      </c>
      <c r="E108" s="57">
        <f t="shared" si="20"/>
        <v>7.6176414681635731E-4</v>
      </c>
      <c r="F108" s="58">
        <f t="shared" si="21"/>
        <v>134.14062122343086</v>
      </c>
      <c r="G108" s="59">
        <f t="shared" si="22"/>
        <v>924.86738958646208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-3.8951793643699371</v>
      </c>
      <c r="E109" s="57">
        <f t="shared" si="20"/>
        <v>3.1824430766104082E-3</v>
      </c>
      <c r="F109" s="58">
        <f t="shared" si="21"/>
        <v>207.74554448962871</v>
      </c>
      <c r="G109" s="59">
        <f t="shared" si="22"/>
        <v>1432.3556703253125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-3.8951793643699371</v>
      </c>
      <c r="E110" s="57">
        <f t="shared" si="20"/>
        <v>1.2729772306441622E-3</v>
      </c>
      <c r="F110" s="58">
        <f t="shared" si="21"/>
        <v>156.97060963109271</v>
      </c>
      <c r="G110" s="59">
        <f t="shared" si="22"/>
        <v>1082.2746804600727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-3.8951793643699371</v>
      </c>
      <c r="E111" s="57">
        <f t="shared" si="20"/>
        <v>6.3648861532208099E-4</v>
      </c>
      <c r="F111" s="58">
        <f t="shared" si="21"/>
        <v>127.0628121947132</v>
      </c>
      <c r="G111" s="59">
        <f t="shared" si="22"/>
        <v>876.06759500762075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-3.8951793643699371</v>
      </c>
      <c r="E112" s="57">
        <f t="shared" si="20"/>
        <v>1.2729772306441619E-4</v>
      </c>
      <c r="F112" s="58">
        <f t="shared" si="21"/>
        <v>78.91769801426517</v>
      </c>
      <c r="G112" s="59">
        <f t="shared" si="22"/>
        <v>544.11858756083495</v>
      </c>
    </row>
    <row r="113" spans="1:8" x14ac:dyDescent="0.25">
      <c r="A113" s="23">
        <v>54.444444444444443</v>
      </c>
      <c r="B113" s="8">
        <v>130</v>
      </c>
      <c r="C113" s="8">
        <v>0.5</v>
      </c>
      <c r="D113" s="56">
        <f t="shared" si="19"/>
        <v>-3.8951793643699371</v>
      </c>
      <c r="E113" s="57">
        <f t="shared" si="20"/>
        <v>6.3648861532208202E-5</v>
      </c>
      <c r="F113" s="58">
        <f t="shared" si="21"/>
        <v>64.976523813214897</v>
      </c>
      <c r="G113" s="59">
        <f t="shared" si="22"/>
        <v>447.99753732640153</v>
      </c>
    </row>
    <row r="114" spans="1:8" x14ac:dyDescent="0.25">
      <c r="A114" s="23">
        <v>54.444444444444443</v>
      </c>
      <c r="B114" s="8">
        <v>130</v>
      </c>
      <c r="C114" s="8">
        <v>0.1</v>
      </c>
      <c r="D114" s="56">
        <f t="shared" si="19"/>
        <v>-3.8951793643699371</v>
      </c>
      <c r="E114" s="57">
        <f t="shared" si="20"/>
        <v>1.2729772306441605E-5</v>
      </c>
      <c r="F114" s="58">
        <f t="shared" si="21"/>
        <v>42.874446791603127</v>
      </c>
      <c r="G114" s="59">
        <f t="shared" si="22"/>
        <v>295.60902076087359</v>
      </c>
    </row>
    <row r="115" spans="1:8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1274.2955109898996</v>
      </c>
      <c r="G115" s="67">
        <f t="shared" si="22"/>
        <v>8785.9617173527204</v>
      </c>
      <c r="H115" s="68" t="s">
        <v>103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D423-97B8-40EF-8B88-0BA7ED1E9523}">
  <dimension ref="A1:CJ115"/>
  <sheetViews>
    <sheetView view="pageBreakPreview" topLeftCell="A16" zoomScale="80" zoomScaleNormal="70" zoomScaleSheetLayoutView="80" workbookViewId="0">
      <selection activeCell="C29" sqref="C29:H31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9.42578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116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2.6469999999999998</v>
      </c>
      <c r="F14" s="8" t="s">
        <v>14</v>
      </c>
      <c r="G14" s="60" t="s">
        <v>117</v>
      </c>
      <c r="H14" s="16">
        <v>4.0999999999999996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5.5</v>
      </c>
      <c r="F15" s="8" t="s">
        <v>24</v>
      </c>
      <c r="G15" s="60" t="s">
        <v>114</v>
      </c>
      <c r="H15" s="16">
        <v>4</v>
      </c>
      <c r="M15" s="4" t="str">
        <f t="shared" ref="M15:N17" si="0">G14</f>
        <v>1D</v>
      </c>
      <c r="N15" s="18">
        <f t="shared" si="0"/>
        <v>4.0999999999999996</v>
      </c>
      <c r="O15" s="4">
        <f>$B$14</f>
        <v>2.6469999999999998</v>
      </c>
      <c r="P15" s="20">
        <f>$B$15</f>
        <v>5.5</v>
      </c>
      <c r="Q15" s="21">
        <f>$B$16</f>
        <v>2.4689999999999999</v>
      </c>
      <c r="R15" s="21">
        <f t="shared" ref="R15:R17" si="1">((Q15*(N15-100))/-100)</f>
        <v>2.3677709999999998</v>
      </c>
      <c r="S15" s="18">
        <f t="shared" ref="S15:S17" si="2">100-((R15*(100-P15))/O15)</f>
        <v>15.468696826596144</v>
      </c>
      <c r="T15" s="18">
        <f t="shared" ref="T15:T17" si="3">100*((S15-N15)/S15)</f>
        <v>73.494858384252154</v>
      </c>
      <c r="U15" s="18"/>
      <c r="W15" s="18"/>
    </row>
    <row r="16" spans="1:23" x14ac:dyDescent="0.25">
      <c r="A16" s="8" t="s">
        <v>25</v>
      </c>
      <c r="B16" s="22">
        <v>2.4689999999999999</v>
      </c>
      <c r="F16" s="8" t="s">
        <v>26</v>
      </c>
      <c r="G16" s="60" t="s">
        <v>118</v>
      </c>
      <c r="H16" s="16">
        <v>4</v>
      </c>
      <c r="M16" s="4" t="str">
        <f t="shared" si="0"/>
        <v>2A</v>
      </c>
      <c r="N16" s="18">
        <f t="shared" si="0"/>
        <v>4</v>
      </c>
      <c r="O16" s="4">
        <f t="shared" ref="O16:O17" si="4">$B$14</f>
        <v>2.6469999999999998</v>
      </c>
      <c r="P16" s="20">
        <f t="shared" ref="P16:P17" si="5">$B$15</f>
        <v>5.5</v>
      </c>
      <c r="Q16" s="21">
        <f t="shared" ref="Q16:Q17" si="6">$B$16</f>
        <v>2.4689999999999999</v>
      </c>
      <c r="R16" s="21">
        <f t="shared" si="1"/>
        <v>2.3702399999999999</v>
      </c>
      <c r="S16" s="18">
        <f t="shared" si="2"/>
        <v>15.380551567812617</v>
      </c>
      <c r="T16" s="18">
        <f t="shared" si="3"/>
        <v>73.993130334994419</v>
      </c>
      <c r="U16" s="18"/>
    </row>
    <row r="17" spans="1:88" x14ac:dyDescent="0.25">
      <c r="A17" s="8" t="s">
        <v>21</v>
      </c>
      <c r="B17" s="23">
        <f>AVERAGE(S15:S17)</f>
        <v>15.409933320740459</v>
      </c>
      <c r="M17" s="4" t="str">
        <f t="shared" si="0"/>
        <v>3D</v>
      </c>
      <c r="N17" s="18">
        <f t="shared" si="0"/>
        <v>4</v>
      </c>
      <c r="O17" s="4">
        <f t="shared" si="4"/>
        <v>2.6469999999999998</v>
      </c>
      <c r="P17" s="20">
        <f t="shared" si="5"/>
        <v>5.5</v>
      </c>
      <c r="Q17" s="21">
        <f t="shared" si="6"/>
        <v>2.4689999999999999</v>
      </c>
      <c r="R17" s="21">
        <f t="shared" si="1"/>
        <v>2.3702399999999999</v>
      </c>
      <c r="S17" s="18">
        <f t="shared" si="2"/>
        <v>15.380551567812617</v>
      </c>
      <c r="T17" s="18">
        <f t="shared" si="3"/>
        <v>73.993130334994419</v>
      </c>
    </row>
    <row r="18" spans="1:88" x14ac:dyDescent="0.25">
      <c r="A18" s="8" t="s">
        <v>22</v>
      </c>
      <c r="B18" s="23">
        <f>AVERAGE(T15:T17)</f>
        <v>73.827039684746993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1905.7958774514</v>
      </c>
      <c r="D23" s="16">
        <v>8.4600000000000009</v>
      </c>
      <c r="E23" s="16">
        <v>1840.8189708229199</v>
      </c>
      <c r="F23" s="16">
        <v>8.86</v>
      </c>
      <c r="G23" s="16">
        <v>1884.76540543995</v>
      </c>
      <c r="H23" s="16">
        <v>8.61</v>
      </c>
      <c r="M23" s="4">
        <v>20</v>
      </c>
      <c r="N23" s="29">
        <f>(20+(B18*3*145000)/(B17))^0.58/(650+((B18*3*145000)/B17)^0.58)</f>
        <v>0.87674544683504629</v>
      </c>
      <c r="O23" s="18">
        <f>(N23*(4200000*(1-B17/100)+3*145000*(B17*B18)/10000)+(1-N23)/((1-B17/100)/4200000+B17/(3*B18*145000)))/1000</f>
        <v>3339.200660092371</v>
      </c>
      <c r="P23" s="29">
        <f>LOG10(O23)</f>
        <v>3.5236425175726143</v>
      </c>
      <c r="R23" s="30">
        <f>(1/6*T37)^0.5</f>
        <v>1.4390838372180623E-2</v>
      </c>
      <c r="S23" s="30">
        <f>1-R23^2/Q37^2*12/6</f>
        <v>0.99722719387423486</v>
      </c>
      <c r="T23" s="30">
        <f>(1-8*R23^2/9*Q37^2)</f>
        <v>0.99997250192130716</v>
      </c>
    </row>
    <row r="24" spans="1:88" x14ac:dyDescent="0.25">
      <c r="A24" s="8">
        <v>4</v>
      </c>
      <c r="B24" s="23">
        <v>1</v>
      </c>
      <c r="C24" s="16">
        <v>2307.2603362630798</v>
      </c>
      <c r="D24" s="16">
        <v>7.27</v>
      </c>
      <c r="E24" s="16">
        <v>2244.8941089187801</v>
      </c>
      <c r="F24" s="16">
        <v>7.59</v>
      </c>
      <c r="G24" s="16">
        <v>2290.4359586539199</v>
      </c>
      <c r="H24" s="16">
        <v>7.48</v>
      </c>
    </row>
    <row r="25" spans="1:88" x14ac:dyDescent="0.25">
      <c r="A25" s="8">
        <v>4</v>
      </c>
      <c r="B25" s="23">
        <v>10</v>
      </c>
      <c r="C25" s="16">
        <v>2742.3735502930799</v>
      </c>
      <c r="D25" s="16">
        <v>6.26</v>
      </c>
      <c r="E25" s="16">
        <v>2682.1828890189299</v>
      </c>
      <c r="F25" s="16">
        <v>6.68</v>
      </c>
      <c r="G25" s="16">
        <v>2731.35068220432</v>
      </c>
      <c r="H25" s="16">
        <v>6.65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866.02033365771001</v>
      </c>
      <c r="D26" s="16">
        <v>16.22</v>
      </c>
      <c r="E26" s="16">
        <v>833.09676712943997</v>
      </c>
      <c r="F26" s="16">
        <v>16.86</v>
      </c>
      <c r="G26" s="16">
        <v>877.62335269850996</v>
      </c>
      <c r="H26" s="16">
        <v>15.9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1214.98113130977</v>
      </c>
      <c r="D27" s="16">
        <v>13.32</v>
      </c>
      <c r="E27" s="16">
        <v>1182.6377157335401</v>
      </c>
      <c r="F27" s="16">
        <v>13.68</v>
      </c>
      <c r="G27" s="16">
        <v>1226.87422582659</v>
      </c>
      <c r="H27" s="16">
        <v>12.97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1632.9798922545899</v>
      </c>
      <c r="D28" s="16">
        <v>11.05</v>
      </c>
      <c r="E28" s="16">
        <v>1599.1860992982599</v>
      </c>
      <c r="F28" s="16">
        <v>11.29</v>
      </c>
      <c r="G28" s="16">
        <v>1642.6974207012599</v>
      </c>
      <c r="H28" s="16">
        <v>10.67</v>
      </c>
      <c r="I28" s="3"/>
      <c r="J28" s="3"/>
      <c r="K28" s="3"/>
      <c r="L28" s="3"/>
      <c r="M28" s="32">
        <f t="shared" ref="M28:N36" si="7">A23</f>
        <v>4</v>
      </c>
      <c r="N28" s="32">
        <f t="shared" si="7"/>
        <v>0.1</v>
      </c>
      <c r="O28" s="33">
        <f>C40</f>
        <v>1877.12675123809</v>
      </c>
      <c r="P28" s="33">
        <f>E40</f>
        <v>8.6433333333333326</v>
      </c>
      <c r="Q28" s="34">
        <f>LOG10(O28)</f>
        <v>3.2734935989424567</v>
      </c>
      <c r="R28" s="34">
        <f t="shared" ref="R28:R33" si="8">$N$42+($P$23-$N$42)/(1+EXP($O$42+$P$42*(LOG10(N28)+$Q$42/19.147142*(1/(273.2+M28)-1/($M$23+273.2)))))</f>
        <v>3.2727920991328974</v>
      </c>
      <c r="S28" s="34">
        <f>Q28-R28</f>
        <v>7.0149980955935831E-4</v>
      </c>
      <c r="T28" s="35">
        <f>S28^2</f>
        <v>4.9210198281181597E-7</v>
      </c>
      <c r="U28" s="34">
        <f>$Q$42/19.147143*(1/(M28+273.15)-1/($M$23+273.15))</f>
        <v>2.4349438262012395</v>
      </c>
      <c r="V28" s="34">
        <f>LOG10(N28)+U28</f>
        <v>1.4349438262012395</v>
      </c>
      <c r="W28" s="34">
        <f>10^V28</f>
        <v>27.223491631834548</v>
      </c>
    </row>
    <row r="29" spans="1:88" s="4" customFormat="1" x14ac:dyDescent="0.25">
      <c r="A29" s="15">
        <v>40</v>
      </c>
      <c r="B29" s="23">
        <v>0.1</v>
      </c>
      <c r="C29" s="16">
        <v>206.09862571221001</v>
      </c>
      <c r="D29" s="16">
        <v>26.84</v>
      </c>
      <c r="E29" s="16">
        <v>183.90785179668001</v>
      </c>
      <c r="F29" s="16">
        <v>27.93</v>
      </c>
      <c r="G29" s="16">
        <v>195.07575762344999</v>
      </c>
      <c r="H29" s="16">
        <v>28.52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2280.8634679452603</v>
      </c>
      <c r="P29" s="33">
        <f>E39</f>
        <v>7.4466666666666663</v>
      </c>
      <c r="Q29" s="34">
        <f t="shared" ref="Q29:Q33" si="9">LOG10(O29)</f>
        <v>3.3580992892693544</v>
      </c>
      <c r="R29" s="34">
        <f t="shared" si="8"/>
        <v>3.3540898591106774</v>
      </c>
      <c r="S29" s="34">
        <f t="shared" ref="S29:S33" si="10">Q29-R29</f>
        <v>4.009430158677052E-3</v>
      </c>
      <c r="T29" s="35">
        <f t="shared" ref="T29:T33" si="11">S29^2</f>
        <v>1.6075530197309089E-5</v>
      </c>
      <c r="U29" s="34">
        <f t="shared" ref="U29:U33" si="12">$Q$42/19.147143*(1/(M29+273.15)-1/($M$23+273.15))</f>
        <v>2.4349438262012395</v>
      </c>
      <c r="V29" s="34">
        <f t="shared" ref="V29:V33" si="13">LOG10(N29)+U29</f>
        <v>2.4349438262012395</v>
      </c>
      <c r="W29" s="34">
        <f t="shared" ref="W29:W33" si="14">10^V29</f>
        <v>272.23491631834565</v>
      </c>
    </row>
    <row r="30" spans="1:88" s="4" customFormat="1" x14ac:dyDescent="0.25">
      <c r="A30" s="15">
        <v>40</v>
      </c>
      <c r="B30" s="23">
        <v>1</v>
      </c>
      <c r="C30" s="16">
        <v>373.76225085176998</v>
      </c>
      <c r="D30" s="16">
        <v>24.35</v>
      </c>
      <c r="E30" s="16">
        <v>341.12875979952003</v>
      </c>
      <c r="F30" s="16">
        <v>25.42</v>
      </c>
      <c r="G30" s="16">
        <v>356.50276002857998</v>
      </c>
      <c r="H30" s="16">
        <v>25.11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2718.63570717211</v>
      </c>
      <c r="P30" s="33">
        <f>E38</f>
        <v>6.53</v>
      </c>
      <c r="Q30" s="34">
        <f t="shared" si="9"/>
        <v>3.4343510167215774</v>
      </c>
      <c r="R30" s="34">
        <f t="shared" si="8"/>
        <v>3.4104311154317113</v>
      </c>
      <c r="S30" s="34">
        <f t="shared" si="10"/>
        <v>2.3919901289866097E-2</v>
      </c>
      <c r="T30" s="35">
        <f t="shared" si="11"/>
        <v>5.7216167771693776E-4</v>
      </c>
      <c r="U30" s="34">
        <f t="shared" si="12"/>
        <v>2.4349438262012395</v>
      </c>
      <c r="V30" s="34">
        <f t="shared" si="13"/>
        <v>3.4349438262012395</v>
      </c>
      <c r="W30" s="34">
        <f t="shared" si="14"/>
        <v>2722.3491631834572</v>
      </c>
    </row>
    <row r="31" spans="1:88" s="4" customFormat="1" x14ac:dyDescent="0.25">
      <c r="A31" s="15">
        <v>40</v>
      </c>
      <c r="B31" s="23">
        <v>10</v>
      </c>
      <c r="C31" s="16">
        <v>633.23476415165999</v>
      </c>
      <c r="D31" s="16">
        <v>20.77</v>
      </c>
      <c r="E31" s="16">
        <v>593.34938619891</v>
      </c>
      <c r="F31" s="16">
        <v>21.42</v>
      </c>
      <c r="G31" s="16">
        <v>619.60121677871996</v>
      </c>
      <c r="H31" s="16">
        <v>20.76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858.9134844952199</v>
      </c>
      <c r="P31" s="33">
        <f>E43</f>
        <v>16.326666666666664</v>
      </c>
      <c r="Q31" s="34">
        <f t="shared" si="9"/>
        <v>2.9339494209923904</v>
      </c>
      <c r="R31" s="34">
        <f t="shared" si="8"/>
        <v>2.9262517328066817</v>
      </c>
      <c r="S31" s="34">
        <f t="shared" si="10"/>
        <v>7.6976881857087065E-3</v>
      </c>
      <c r="T31" s="35">
        <f t="shared" si="11"/>
        <v>5.9254403404399395E-5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1208.1643576233</v>
      </c>
      <c r="P32" s="33">
        <f>E42</f>
        <v>13.323333333333332</v>
      </c>
      <c r="Q32" s="34">
        <f t="shared" si="9"/>
        <v>3.0821260193458979</v>
      </c>
      <c r="R32" s="34">
        <f t="shared" si="8"/>
        <v>3.0975399813706104</v>
      </c>
      <c r="S32" s="34">
        <f t="shared" si="10"/>
        <v>-1.5413962024712458E-2</v>
      </c>
      <c r="T32" s="35">
        <f t="shared" si="11"/>
        <v>2.3759022529927778E-4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1624.9544707513699</v>
      </c>
      <c r="P33" s="33">
        <f>E41</f>
        <v>11.003333333333332</v>
      </c>
      <c r="Q33" s="34">
        <f t="shared" si="9"/>
        <v>3.2108411970819999</v>
      </c>
      <c r="R33" s="34">
        <f t="shared" si="8"/>
        <v>3.227798148980122</v>
      </c>
      <c r="S33" s="34">
        <f t="shared" si="10"/>
        <v>-1.6956951898122075E-2</v>
      </c>
      <c r="T33" s="35">
        <f t="shared" si="11"/>
        <v>2.8753821767522582E-4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0.1</v>
      </c>
      <c r="O34" s="33">
        <f>C46</f>
        <v>195.02741171078</v>
      </c>
      <c r="P34" s="33">
        <f>E46</f>
        <v>27.763333333333332</v>
      </c>
      <c r="Q34" s="34">
        <f>LOG10(O34)</f>
        <v>2.2900956570961943</v>
      </c>
      <c r="R34" s="34">
        <f>$N$42+($P$23-$N$42)/(1+EXP($O$42+$P$42*(LOG10(N34)+$Q$42/19.147142*(1/(273.2+M34)-1/($M$23+273.2)))))</f>
        <v>2.2942038169200618</v>
      </c>
      <c r="S34" s="34">
        <f>Q34-R34</f>
        <v>-4.1081598238674744E-3</v>
      </c>
      <c r="T34" s="35">
        <f>S34^2</f>
        <v>1.687697713843884E-5</v>
      </c>
      <c r="U34" s="34">
        <f>$Q$42/19.147143*(1/(M34+273.15)-1/($M$23+273.15))</f>
        <v>-2.6937756723282562</v>
      </c>
      <c r="V34" s="34">
        <f>LOG10(N34)+U34</f>
        <v>-3.6937756723282562</v>
      </c>
      <c r="W34" s="34">
        <f>10^V34</f>
        <v>2.0240644058864475E-4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1</v>
      </c>
      <c r="O35" s="33">
        <f>C45</f>
        <v>357.13125689328996</v>
      </c>
      <c r="P35" s="33">
        <f>E45</f>
        <v>24.959999999999997</v>
      </c>
      <c r="Q35" s="34">
        <f>LOG10(O35)</f>
        <v>2.5528278622404343</v>
      </c>
      <c r="R35" s="34">
        <f>$N$42+($P$23-$N$42)/(1+EXP($O$42+$P$42*(LOG10(N35)+$Q$42/19.147142*(1/(273.2+M35)-1/($M$23+273.2)))))</f>
        <v>2.548397412355289</v>
      </c>
      <c r="S35" s="34">
        <f>Q35-R35</f>
        <v>4.4304498851452934E-3</v>
      </c>
      <c r="T35" s="35">
        <f>S35^2</f>
        <v>1.9628886184783943E-5</v>
      </c>
      <c r="U35" s="34">
        <f>$Q$42/19.147143*(1/(M35+273.15)-1/($M$23+273.15))</f>
        <v>-2.6937756723282562</v>
      </c>
      <c r="V35" s="34">
        <f>LOG10(N35)+U35</f>
        <v>-2.6937756723282562</v>
      </c>
      <c r="W35" s="34">
        <f>10^V35</f>
        <v>2.0240644058864459E-3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10</v>
      </c>
      <c r="O36" s="33">
        <f>C44</f>
        <v>615.39512237642987</v>
      </c>
      <c r="P36" s="33">
        <f>E44</f>
        <v>20.983333333333334</v>
      </c>
      <c r="Q36" s="34">
        <f>LOG10(O36)</f>
        <v>2.7891540497057261</v>
      </c>
      <c r="R36" s="34">
        <f>$N$42+($P$23-$N$42)/(1+EXP($O$42+$P$42*(LOG10(N36)+$Q$42/19.147142*(1/(273.2+M36)-1/($M$23+273.2)))))</f>
        <v>2.7834130258661856</v>
      </c>
      <c r="S36" s="34">
        <f>Q36-R36</f>
        <v>5.7410238395405599E-3</v>
      </c>
      <c r="T36" s="35">
        <f>S36^2</f>
        <v>3.295935472617303E-5</v>
      </c>
      <c r="U36" s="34">
        <f>$Q$42/19.147143*(1/(M36+273.15)-1/($M$23+273.15))</f>
        <v>-2.6937756723282562</v>
      </c>
      <c r="V36" s="34">
        <f>LOG10(N36)+U36</f>
        <v>-1.6937756723282562</v>
      </c>
      <c r="W36" s="34">
        <f>10^V36</f>
        <v>2.0240644058864474E-2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P37" s="32" t="s">
        <v>68</v>
      </c>
      <c r="Q37" s="35">
        <f>STDEV(Q28:Q36)</f>
        <v>0.38649274047320936</v>
      </c>
      <c r="S37" s="32" t="s">
        <v>69</v>
      </c>
      <c r="T37" s="35">
        <f>SUM(T28:T36)</f>
        <v>1.2425773743253575E-3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2718.63570717211</v>
      </c>
      <c r="D38" s="23">
        <f>(STDEV(C25,E25,G25)/C38)*100</f>
        <v>1.1787735202905161</v>
      </c>
      <c r="E38" s="23">
        <f>AVERAGE(D25,F25,H25)</f>
        <v>6.53</v>
      </c>
      <c r="F38" s="23">
        <f>STDEV(D25,F25,H25)</f>
        <v>0.23430749027719977</v>
      </c>
      <c r="G38" s="3"/>
      <c r="H38" s="3"/>
      <c r="I38" s="26" t="s">
        <v>32</v>
      </c>
      <c r="J38" s="8">
        <v>20</v>
      </c>
      <c r="K38" s="3"/>
      <c r="L38" s="3"/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2280.8634679452603</v>
      </c>
      <c r="D39" s="23">
        <f>(STDEV(C24,E24,G24)/C39)*100</f>
        <v>1.4146507390525265</v>
      </c>
      <c r="E39" s="23">
        <f>AVERAGE(D24,F24,H24)</f>
        <v>7.4466666666666663</v>
      </c>
      <c r="F39" s="23">
        <f>STDEV(D24,F24,H24)</f>
        <v>0.16258331197676285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1877.12675123809</v>
      </c>
      <c r="D40" s="23">
        <f>(STDEV(C23,E23,G23)/C40)*100</f>
        <v>1.7662691587069461</v>
      </c>
      <c r="E40" s="23">
        <f>AVERAGE(D23,F23,H23)</f>
        <v>8.6433333333333326</v>
      </c>
      <c r="F40" s="23">
        <f>STDEV(D23,F23,H23)</f>
        <v>0.20207259421636839</v>
      </c>
      <c r="G40" s="3"/>
      <c r="H40" s="3"/>
      <c r="I40" s="12" t="s">
        <v>94</v>
      </c>
      <c r="J40" s="59">
        <f>G115</f>
        <v>10744.31629558744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1624.9544707513699</v>
      </c>
      <c r="D41" s="23">
        <f>(STDEV(C28,E28,G28)/C41)*100</f>
        <v>1.405508750453055</v>
      </c>
      <c r="E41" s="23">
        <f>AVERAGE(D28,F28,H28)</f>
        <v>11.003333333333332</v>
      </c>
      <c r="F41" s="23">
        <f>STDEV(D28,F28,H28)</f>
        <v>0.31262330900515584</v>
      </c>
      <c r="G41" s="3"/>
      <c r="H41" s="3"/>
      <c r="I41" s="69" t="s">
        <v>35</v>
      </c>
      <c r="J41" s="62">
        <f>AVERAGE(E41:E42)</f>
        <v>12.163333333333332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1208.1643576233</v>
      </c>
      <c r="D42" s="23">
        <f>(STDEV(C27,E27,G27)/C42)*100</f>
        <v>1.8948202290733014</v>
      </c>
      <c r="E42" s="23">
        <f>AVERAGE(D27,F27,H27)</f>
        <v>13.323333333333332</v>
      </c>
      <c r="F42" s="23">
        <f>STDEV(D27,F27,H27)</f>
        <v>0.35501173689518067</v>
      </c>
      <c r="G42" s="3"/>
      <c r="H42" s="3"/>
      <c r="I42" s="32" t="s">
        <v>105</v>
      </c>
      <c r="J42" s="70">
        <f>(COS(RADIANS(J41)))^2</f>
        <v>0.95560582522516646</v>
      </c>
      <c r="K42" s="3"/>
      <c r="L42" s="3"/>
      <c r="M42" s="38" t="s">
        <v>78</v>
      </c>
      <c r="N42" s="39">
        <f>N43</f>
        <v>1.1286612784296559</v>
      </c>
      <c r="O42" s="39">
        <f>O43*-1</f>
        <v>-1.5305394607428466</v>
      </c>
      <c r="P42" s="39">
        <f>P43*-1</f>
        <v>-0.42890853018543557</v>
      </c>
      <c r="Q42" s="40">
        <f>Q43*200000</f>
        <v>236743.31589150644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858.9134844952199</v>
      </c>
      <c r="D43" s="23">
        <f>(STDEV(C26,E26,G26)/C43)*100</f>
        <v>2.6892545234269196</v>
      </c>
      <c r="E43" s="23">
        <f>AVERAGE(D26,F26,H26)</f>
        <v>16.326666666666664</v>
      </c>
      <c r="F43" s="23">
        <f>STDEV(D26,F26,H26)</f>
        <v>0.48880807412862259</v>
      </c>
      <c r="G43" s="3"/>
      <c r="H43" s="3"/>
      <c r="I43" s="32" t="s">
        <v>106</v>
      </c>
      <c r="J43" s="70">
        <f>SIN(RADIANS(J41))</f>
        <v>0.21069925195603711</v>
      </c>
      <c r="K43" s="3"/>
      <c r="L43" s="3"/>
      <c r="M43" s="38" t="s">
        <v>80</v>
      </c>
      <c r="N43" s="39">
        <v>1.1286612784296559</v>
      </c>
      <c r="O43" s="39">
        <v>1.5305394607428466</v>
      </c>
      <c r="P43" s="39">
        <v>0.42890853018543557</v>
      </c>
      <c r="Q43" s="41">
        <v>1.1837165794575322</v>
      </c>
      <c r="R43" s="4" t="s">
        <v>81</v>
      </c>
    </row>
    <row r="44" spans="1:23" s="4" customFormat="1" ht="18" x14ac:dyDescent="0.35">
      <c r="A44" s="8">
        <f>A29</f>
        <v>40</v>
      </c>
      <c r="B44" s="23">
        <f>B31</f>
        <v>10</v>
      </c>
      <c r="C44" s="23">
        <f>AVERAGE(C31,E31,G31)</f>
        <v>615.39512237642987</v>
      </c>
      <c r="D44" s="23">
        <f>(STDEV(C31,E31,G31)/C44)*100</f>
        <v>3.294245083791334</v>
      </c>
      <c r="E44" s="23">
        <f>AVERAGE(D31,F31,H31)</f>
        <v>20.983333333333334</v>
      </c>
      <c r="F44" s="23">
        <f>STDEV(D31,F31,H31)</f>
        <v>0.37819747927945502</v>
      </c>
      <c r="G44" s="3"/>
      <c r="H44" s="3"/>
      <c r="I44" s="12" t="s">
        <v>107</v>
      </c>
      <c r="J44" s="59">
        <f>(J40*J42)/J43</f>
        <v>48729.794457302305</v>
      </c>
      <c r="K44" s="3"/>
      <c r="L44" s="3"/>
    </row>
    <row r="45" spans="1:23" s="4" customFormat="1" x14ac:dyDescent="0.25">
      <c r="A45" s="8">
        <f>A30</f>
        <v>40</v>
      </c>
      <c r="B45" s="23">
        <f>B30</f>
        <v>1</v>
      </c>
      <c r="C45" s="23">
        <f>AVERAGE(C30,E30,G30)</f>
        <v>357.13125689328996</v>
      </c>
      <c r="D45" s="23">
        <f>(STDEV(C30,E30,G30)/C45)*100</f>
        <v>4.5713784427921</v>
      </c>
      <c r="E45" s="23">
        <f>AVERAGE(D30,F30,H30)</f>
        <v>24.959999999999997</v>
      </c>
      <c r="F45" s="23">
        <f>STDEV(D30,F30,H30)</f>
        <v>0.55054518434003197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8">
        <f>A31</f>
        <v>40</v>
      </c>
      <c r="B46" s="23">
        <f>B29</f>
        <v>0.1</v>
      </c>
      <c r="C46" s="23">
        <f>AVERAGE(C29,E29,G29)</f>
        <v>195.02741171078</v>
      </c>
      <c r="D46" s="23">
        <f>(STDEV(C29,E29,G29)/C46)*100</f>
        <v>5.6891827957637915</v>
      </c>
      <c r="E46" s="23">
        <f>AVERAGE(D29,F29,H29)</f>
        <v>27.763333333333332</v>
      </c>
      <c r="F46" s="23">
        <f>STDEV(D29,F29,H29)</f>
        <v>0.8523105850177698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3.5069935684224438</v>
      </c>
      <c r="O46" s="44">
        <f t="shared" ref="O46" si="17">10^N46</f>
        <v>3213.6129470755855</v>
      </c>
    </row>
    <row r="47" spans="1:23" s="4" customFormat="1" x14ac:dyDescent="0.25">
      <c r="A47" s="3"/>
      <c r="B47" s="45"/>
      <c r="C47" s="24"/>
      <c r="D47" s="24"/>
      <c r="E47" s="24"/>
      <c r="F47" s="24"/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3.4981715467925003</v>
      </c>
      <c r="O47" s="44">
        <f>10^N47</f>
        <v>3148.9919237049021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3.4847513131656132</v>
      </c>
      <c r="O48" s="44">
        <f>10^N48</f>
        <v>3053.1722971055497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3.4644368568991832</v>
      </c>
      <c r="O49" s="44">
        <f t="shared" ref="O49:O62" si="18">10^N49</f>
        <v>2913.646482027621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3.4339154364129021</v>
      </c>
      <c r="O50" s="44">
        <f t="shared" si="18"/>
        <v>2715.9103892525964</v>
      </c>
    </row>
    <row r="51" spans="1:15" s="4" customFormat="1" x14ac:dyDescent="0.25">
      <c r="A51" s="24">
        <f>O23</f>
        <v>3339.200660092371</v>
      </c>
      <c r="B51" s="45">
        <f>10^N42</f>
        <v>13.448110793759913</v>
      </c>
      <c r="C51" s="46">
        <f>O42</f>
        <v>-1.5305394607428466</v>
      </c>
      <c r="D51" s="46">
        <f>P42</f>
        <v>-0.42890853018543557</v>
      </c>
      <c r="E51" s="47">
        <f>Q42</f>
        <v>236743.31589150644</v>
      </c>
      <c r="F51" s="48">
        <f>S23</f>
        <v>0.99722719387423486</v>
      </c>
      <c r="G51" s="45">
        <f>R23/Q37</f>
        <v>3.7234433833248565E-2</v>
      </c>
      <c r="H51" s="3"/>
      <c r="I51" s="3"/>
      <c r="J51" s="3"/>
      <c r="K51" s="3"/>
      <c r="L51" s="3"/>
      <c r="M51" s="43">
        <v>1000</v>
      </c>
      <c r="N51" s="21">
        <f t="shared" si="16"/>
        <v>3.388569636747909</v>
      </c>
      <c r="O51" s="44">
        <f t="shared" si="18"/>
        <v>2446.637549567688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3.3223086831850108</v>
      </c>
      <c r="O52" s="44">
        <f t="shared" si="18"/>
        <v>2100.4322759664074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3.227798148980122</v>
      </c>
      <c r="O53" s="44">
        <f t="shared" si="18"/>
        <v>1689.6554325009358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3.0975399813706104</v>
      </c>
      <c r="O54" s="44">
        <f t="shared" si="18"/>
        <v>1251.8145104069451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2.9262517328066817</v>
      </c>
      <c r="O55" s="44">
        <f t="shared" si="18"/>
        <v>843.82372682380674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2.7144082508059082</v>
      </c>
      <c r="O56" s="44">
        <f t="shared" si="18"/>
        <v>518.09362781588743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2.4714154195454077</v>
      </c>
      <c r="O57" s="44">
        <f t="shared" si="18"/>
        <v>296.08432740751095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2.2156426626265504</v>
      </c>
      <c r="O58" s="44">
        <f t="shared" si="18"/>
        <v>164.30192911058043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1.9696506966345968</v>
      </c>
      <c r="O59" s="44">
        <f t="shared" si="18"/>
        <v>93.2503985468976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1.7527660059867833</v>
      </c>
      <c r="O60" s="44">
        <f t="shared" si="18"/>
        <v>56.593428650744748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1.575723091892419</v>
      </c>
      <c r="O61" s="18">
        <f t="shared" si="18"/>
        <v>37.646368751001113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1.4400711401713724</v>
      </c>
      <c r="O62" s="18">
        <f t="shared" si="18"/>
        <v>27.546799002996668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N2-1 CA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4.8084133609675455</v>
      </c>
      <c r="E85" s="57">
        <f>10^(LOG(C85)+D85)</f>
        <v>1608249.294802187</v>
      </c>
      <c r="F85" s="58">
        <f>10^($N$42+($P$23-$N$42)/(1+EXP($O$42+$P$42*(LOG10(C85)+$Q$42/19.147142*(1/(273.2+A85)-1/($M$23+273.2))))))</f>
        <v>3075.8869118093785</v>
      </c>
      <c r="G85" s="59">
        <f>F85*6.89476</f>
        <v>21207.50204406683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4.8084133609675455</v>
      </c>
      <c r="E86" s="57">
        <f t="shared" ref="E86:E115" si="20">10^(LOG(C86)+D86)</f>
        <v>643299.71792087413</v>
      </c>
      <c r="F86" s="58">
        <f t="shared" ref="F86:F115" si="21">10^($N$42+($P$23-$N$42)/(1+EXP($O$42+$P$42*(LOG10(C86)+$Q$42/19.147142*(1/(273.2+A86)-1/($M$23+273.2))))))</f>
        <v>3030.0399100777295</v>
      </c>
      <c r="G86" s="59">
        <f t="shared" ref="G86:G115" si="22">F86*6.89476</f>
        <v>20891.397970407525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4.8084133609675455</v>
      </c>
      <c r="E87" s="57">
        <f t="shared" si="20"/>
        <v>321649.85896043706</v>
      </c>
      <c r="F87" s="58">
        <f t="shared" si="21"/>
        <v>2990.5387080423061</v>
      </c>
      <c r="G87" s="59">
        <f t="shared" si="22"/>
        <v>20619.046662661771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4.8084133609675455</v>
      </c>
      <c r="E88" s="57">
        <f t="shared" si="20"/>
        <v>64329.971792087461</v>
      </c>
      <c r="F88" s="58">
        <f t="shared" si="21"/>
        <v>2880.4186993427638</v>
      </c>
      <c r="G88" s="59">
        <f t="shared" si="22"/>
        <v>19859.795631480512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4.8084133609675455</v>
      </c>
      <c r="E89" s="57">
        <f t="shared" si="20"/>
        <v>32164.985896043727</v>
      </c>
      <c r="F89" s="58">
        <f t="shared" si="21"/>
        <v>2824.087427511909</v>
      </c>
      <c r="G89" s="59">
        <f t="shared" si="22"/>
        <v>19471.405031712009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4.8084133609675455</v>
      </c>
      <c r="E90" s="57">
        <f t="shared" si="20"/>
        <v>6432.997179208739</v>
      </c>
      <c r="F90" s="58">
        <f t="shared" si="21"/>
        <v>2669.765548324046</v>
      </c>
      <c r="G90" s="59">
        <f t="shared" si="22"/>
        <v>18407.392711962701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2.3635166760916215</v>
      </c>
      <c r="E91" s="57">
        <f t="shared" si="20"/>
        <v>5773.7328435282343</v>
      </c>
      <c r="F91" s="58">
        <f t="shared" si="21"/>
        <v>2658.366789992318</v>
      </c>
      <c r="G91" s="59">
        <f t="shared" si="22"/>
        <v>18328.801008967435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2.3635166760916215</v>
      </c>
      <c r="E92" s="57">
        <f t="shared" si="20"/>
        <v>2309.4931374112939</v>
      </c>
      <c r="F92" s="58">
        <f t="shared" si="21"/>
        <v>2553.1818507388334</v>
      </c>
      <c r="G92" s="59">
        <f t="shared" si="22"/>
        <v>17603.576097200079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2.3635166760916215</v>
      </c>
      <c r="E93" s="57">
        <f t="shared" si="20"/>
        <v>1154.7465687056467</v>
      </c>
      <c r="F93" s="58">
        <f t="shared" si="21"/>
        <v>2465.477143606789</v>
      </c>
      <c r="G93" s="59">
        <f t="shared" si="22"/>
        <v>16998.873190654343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2.3635166760916215</v>
      </c>
      <c r="E94" s="57">
        <f t="shared" si="20"/>
        <v>230.94931374112932</v>
      </c>
      <c r="F94" s="58">
        <f t="shared" si="21"/>
        <v>2234.6065324392721</v>
      </c>
      <c r="G94" s="59">
        <f t="shared" si="22"/>
        <v>15407.075735600994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2.3635166760916215</v>
      </c>
      <c r="E95" s="57">
        <f t="shared" si="20"/>
        <v>115.47465687056464</v>
      </c>
      <c r="F95" s="58">
        <f t="shared" si="21"/>
        <v>2123.8905779276606</v>
      </c>
      <c r="G95" s="59">
        <f t="shared" si="22"/>
        <v>14643.715801072516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2.3635166760916215</v>
      </c>
      <c r="E96" s="57">
        <f t="shared" si="20"/>
        <v>23.094931374112939</v>
      </c>
      <c r="F96" s="58">
        <f t="shared" si="21"/>
        <v>1844.2965981429586</v>
      </c>
      <c r="G96" s="59">
        <f t="shared" si="22"/>
        <v>12715.982413012145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-0.15926066871052819</v>
      </c>
      <c r="E97" s="57">
        <f t="shared" si="20"/>
        <v>17.325243212120672</v>
      </c>
      <c r="F97" s="58">
        <f t="shared" si="21"/>
        <v>1792.0168799793241</v>
      </c>
      <c r="G97" s="59">
        <f t="shared" si="22"/>
        <v>12355.526303406245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-0.15926066871052819</v>
      </c>
      <c r="E98" s="57">
        <f t="shared" si="20"/>
        <v>6.9300972848482685</v>
      </c>
      <c r="F98" s="58">
        <f t="shared" si="21"/>
        <v>1620.4361455389144</v>
      </c>
      <c r="G98" s="59">
        <f t="shared" si="22"/>
        <v>11172.518318815884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-0.15926066871052819</v>
      </c>
      <c r="E99" s="57">
        <f t="shared" si="20"/>
        <v>3.4650486424241347</v>
      </c>
      <c r="F99" s="58">
        <f t="shared" si="21"/>
        <v>1488.3205113496856</v>
      </c>
      <c r="G99" s="59">
        <f t="shared" si="22"/>
        <v>10261.612728833357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-0.15926066871052819</v>
      </c>
      <c r="E100" s="57">
        <f t="shared" si="20"/>
        <v>0.69300972848482678</v>
      </c>
      <c r="F100" s="58">
        <f t="shared" si="21"/>
        <v>1183.2923371961656</v>
      </c>
      <c r="G100" s="59">
        <f t="shared" si="22"/>
        <v>8158.516674806634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-0.15926066871052819</v>
      </c>
      <c r="E101" s="57">
        <f t="shared" si="20"/>
        <v>0.34650486424241334</v>
      </c>
      <c r="F101" s="58">
        <f t="shared" si="21"/>
        <v>1056.7022014842714</v>
      </c>
      <c r="G101" s="59">
        <f t="shared" si="22"/>
        <v>7285.7080707056948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-0.15926066871052819</v>
      </c>
      <c r="E102" s="57">
        <f t="shared" si="20"/>
        <v>6.9300972848482661E-2</v>
      </c>
      <c r="F102" s="58">
        <f t="shared" si="21"/>
        <v>785.4406318824141</v>
      </c>
      <c r="G102" s="59">
        <f t="shared" si="22"/>
        <v>5415.4246510775929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-2.411581064438896</v>
      </c>
      <c r="E103" s="57">
        <f t="shared" si="20"/>
        <v>9.6907846836853759E-2</v>
      </c>
      <c r="F103" s="58">
        <f t="shared" si="21"/>
        <v>839.03223794813925</v>
      </c>
      <c r="G103" s="59">
        <f t="shared" si="22"/>
        <v>5784.9259129153124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-2.411581064438896</v>
      </c>
      <c r="E104" s="57">
        <f t="shared" si="20"/>
        <v>3.8763138734741485E-2</v>
      </c>
      <c r="F104" s="58">
        <f t="shared" si="21"/>
        <v>697.9539716185385</v>
      </c>
      <c r="G104" s="59">
        <f t="shared" si="22"/>
        <v>4812.2251253566346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-2.411581064438896</v>
      </c>
      <c r="E105" s="57">
        <f t="shared" si="20"/>
        <v>1.9381569367370743E-2</v>
      </c>
      <c r="F105" s="58">
        <f t="shared" si="21"/>
        <v>601.52694359839847</v>
      </c>
      <c r="G105" s="59">
        <f t="shared" si="22"/>
        <v>4147.3839096444935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-2.411581064438896</v>
      </c>
      <c r="E106" s="57">
        <f t="shared" si="20"/>
        <v>3.8763138734741473E-3</v>
      </c>
      <c r="F106" s="58">
        <f t="shared" si="21"/>
        <v>414.4655257925242</v>
      </c>
      <c r="G106" s="59">
        <f t="shared" si="22"/>
        <v>2857.640328613264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-2.411581064438896</v>
      </c>
      <c r="E107" s="57">
        <f t="shared" si="20"/>
        <v>1.9381569367370737E-3</v>
      </c>
      <c r="F107" s="58">
        <f t="shared" si="21"/>
        <v>349.70442719219903</v>
      </c>
      <c r="G107" s="59">
        <f t="shared" si="22"/>
        <v>2411.1280964276862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-2.411581064438896</v>
      </c>
      <c r="E108" s="57">
        <f t="shared" si="20"/>
        <v>3.8763138734741471E-4</v>
      </c>
      <c r="F108" s="58">
        <f t="shared" si="21"/>
        <v>232.60938519625731</v>
      </c>
      <c r="G108" s="59">
        <f t="shared" si="22"/>
        <v>1603.785884675747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-4.434723744252091</v>
      </c>
      <c r="E109" s="57">
        <f t="shared" si="20"/>
        <v>9.1879000990141709E-4</v>
      </c>
      <c r="F109" s="58">
        <f t="shared" si="21"/>
        <v>290.0432253610868</v>
      </c>
      <c r="G109" s="59">
        <f t="shared" si="22"/>
        <v>1999.7784284906068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-4.434723744252091</v>
      </c>
      <c r="E110" s="57">
        <f t="shared" si="20"/>
        <v>3.6751600396056714E-4</v>
      </c>
      <c r="F110" s="58">
        <f t="shared" si="21"/>
        <v>229.53694790941037</v>
      </c>
      <c r="G110" s="59">
        <f t="shared" si="22"/>
        <v>1582.6021669678862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-4.434723744252091</v>
      </c>
      <c r="E111" s="57">
        <f t="shared" si="20"/>
        <v>1.8375800198028357E-4</v>
      </c>
      <c r="F111" s="58">
        <f t="shared" si="21"/>
        <v>192.12048567922861</v>
      </c>
      <c r="G111" s="59">
        <f t="shared" si="22"/>
        <v>1324.6246398417181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-4.434723744252091</v>
      </c>
      <c r="E112" s="57">
        <f t="shared" si="20"/>
        <v>3.6751600396056677E-5</v>
      </c>
      <c r="F112" s="58">
        <f t="shared" si="21"/>
        <v>127.81075094196402</v>
      </c>
      <c r="G112" s="59">
        <f t="shared" si="22"/>
        <v>881.22445316461574</v>
      </c>
    </row>
    <row r="113" spans="1:8" x14ac:dyDescent="0.25">
      <c r="A113" s="23">
        <v>54.444444444444443</v>
      </c>
      <c r="B113" s="8">
        <v>130</v>
      </c>
      <c r="C113" s="8">
        <v>0.5</v>
      </c>
      <c r="D113" s="56">
        <f t="shared" si="19"/>
        <v>-4.434723744252091</v>
      </c>
      <c r="E113" s="57">
        <f t="shared" si="20"/>
        <v>1.8375800198028335E-5</v>
      </c>
      <c r="F113" s="58">
        <f t="shared" si="21"/>
        <v>107.85379521749977</v>
      </c>
      <c r="G113" s="59">
        <f t="shared" si="22"/>
        <v>743.62603311380872</v>
      </c>
    </row>
    <row r="114" spans="1:8" x14ac:dyDescent="0.25">
      <c r="A114" s="23">
        <v>54.444444444444443</v>
      </c>
      <c r="B114" s="8">
        <v>130</v>
      </c>
      <c r="C114" s="8">
        <v>0.1</v>
      </c>
      <c r="D114" s="56">
        <f t="shared" si="19"/>
        <v>-4.434723744252091</v>
      </c>
      <c r="E114" s="57">
        <f t="shared" si="20"/>
        <v>3.67516003960567E-6</v>
      </c>
      <c r="F114" s="58">
        <f t="shared" si="21"/>
        <v>74.344000047154879</v>
      </c>
      <c r="G114" s="59">
        <f t="shared" si="22"/>
        <v>512.58403776512159</v>
      </c>
    </row>
    <row r="115" spans="1:8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1558.3307171805022</v>
      </c>
      <c r="G115" s="67">
        <f t="shared" si="22"/>
        <v>10744.31629558744</v>
      </c>
      <c r="H115" s="68" t="s">
        <v>103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863C-93C4-4A4D-B1F5-D60B140C69F1}">
  <dimension ref="A1:CJ115"/>
  <sheetViews>
    <sheetView view="pageBreakPreview" topLeftCell="A19" zoomScale="80" zoomScaleNormal="70" zoomScaleSheetLayoutView="80" workbookViewId="0">
      <selection activeCell="K33" sqref="K33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9.42578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119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2.6469999999999998</v>
      </c>
      <c r="F14" s="8" t="s">
        <v>14</v>
      </c>
      <c r="G14" s="60" t="s">
        <v>120</v>
      </c>
      <c r="H14" s="16">
        <v>10.199999999999999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5.09</v>
      </c>
      <c r="F15" s="8" t="s">
        <v>24</v>
      </c>
      <c r="G15" s="60" t="s">
        <v>110</v>
      </c>
      <c r="H15" s="16">
        <v>9.6999999999999993</v>
      </c>
      <c r="M15" s="4" t="str">
        <f t="shared" ref="M15:N17" si="0">G14</f>
        <v>1A</v>
      </c>
      <c r="N15" s="18">
        <f t="shared" si="0"/>
        <v>10.199999999999999</v>
      </c>
      <c r="O15" s="4">
        <f>$B$14</f>
        <v>2.6469999999999998</v>
      </c>
      <c r="P15" s="20">
        <f>$B$15</f>
        <v>5.09</v>
      </c>
      <c r="Q15" s="21">
        <f>$B$16</f>
        <v>2.4780000000000002</v>
      </c>
      <c r="R15" s="21">
        <f t="shared" ref="R15:R17" si="1">((Q15*(N15-100))/-100)</f>
        <v>2.225244</v>
      </c>
      <c r="S15" s="18">
        <f t="shared" ref="S15:S17" si="2">100-((R15*(100-P15))/O15)</f>
        <v>20.212350570457119</v>
      </c>
      <c r="T15" s="18">
        <f t="shared" ref="T15:T17" si="3">100*((S15-N15)/S15)</f>
        <v>49.535805029482439</v>
      </c>
      <c r="U15" s="18"/>
      <c r="W15" s="18"/>
    </row>
    <row r="16" spans="1:23" x14ac:dyDescent="0.25">
      <c r="A16" s="8" t="s">
        <v>25</v>
      </c>
      <c r="B16" s="22">
        <v>2.4780000000000002</v>
      </c>
      <c r="F16" s="8" t="s">
        <v>26</v>
      </c>
      <c r="G16" s="60" t="s">
        <v>111</v>
      </c>
      <c r="H16" s="16">
        <v>10.199999999999999</v>
      </c>
      <c r="M16" s="4" t="str">
        <f t="shared" si="0"/>
        <v>1B</v>
      </c>
      <c r="N16" s="18">
        <f t="shared" si="0"/>
        <v>9.6999999999999993</v>
      </c>
      <c r="O16" s="4">
        <f t="shared" ref="O16:O17" si="4">$B$14</f>
        <v>2.6469999999999998</v>
      </c>
      <c r="P16" s="20">
        <f t="shared" ref="P16:P17" si="5">$B$15</f>
        <v>5.09</v>
      </c>
      <c r="Q16" s="21">
        <f t="shared" ref="Q16:Q17" si="6">$B$16</f>
        <v>2.4780000000000002</v>
      </c>
      <c r="R16" s="21">
        <f t="shared" si="1"/>
        <v>2.2376340000000003</v>
      </c>
      <c r="S16" s="18">
        <f t="shared" si="2"/>
        <v>19.768098624858311</v>
      </c>
      <c r="T16" s="18">
        <f t="shared" si="3"/>
        <v>50.931042058833697</v>
      </c>
      <c r="U16" s="18"/>
    </row>
    <row r="17" spans="1:88" x14ac:dyDescent="0.25">
      <c r="A17" s="8" t="s">
        <v>21</v>
      </c>
      <c r="B17" s="23">
        <f>AVERAGE(S15:S17)</f>
        <v>20.064266588590851</v>
      </c>
      <c r="M17" s="4" t="str">
        <f t="shared" si="0"/>
        <v>2C</v>
      </c>
      <c r="N17" s="18">
        <f t="shared" si="0"/>
        <v>10.199999999999999</v>
      </c>
      <c r="O17" s="4">
        <f t="shared" si="4"/>
        <v>2.6469999999999998</v>
      </c>
      <c r="P17" s="20">
        <f t="shared" si="5"/>
        <v>5.09</v>
      </c>
      <c r="Q17" s="21">
        <f t="shared" si="6"/>
        <v>2.4780000000000002</v>
      </c>
      <c r="R17" s="21">
        <f t="shared" si="1"/>
        <v>2.225244</v>
      </c>
      <c r="S17" s="18">
        <f t="shared" si="2"/>
        <v>20.212350570457119</v>
      </c>
      <c r="T17" s="18">
        <f t="shared" si="3"/>
        <v>49.535805029482439</v>
      </c>
    </row>
    <row r="18" spans="1:88" x14ac:dyDescent="0.25">
      <c r="A18" s="8" t="s">
        <v>22</v>
      </c>
      <c r="B18" s="23">
        <f>AVERAGE(T15:T17)</f>
        <v>50.000884039266197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1022.9511661845301</v>
      </c>
      <c r="D23" s="16">
        <v>14.44</v>
      </c>
      <c r="E23" s="16">
        <v>1038.03509093757</v>
      </c>
      <c r="F23" s="16">
        <v>14.39</v>
      </c>
      <c r="G23" s="16">
        <v>989.44744870422005</v>
      </c>
      <c r="H23" s="16">
        <v>13.59</v>
      </c>
      <c r="M23" s="4">
        <v>20</v>
      </c>
      <c r="N23" s="29">
        <f>(20+(B18*3*145000)/(B17))^0.58/(650+((B18*3*145000)/B17)^0.58)</f>
        <v>0.82961304621963694</v>
      </c>
      <c r="O23" s="18">
        <f>(N23*(4200000*(1-B17/100)+3*145000*(B17*B18)/10000)+(1-N23)/((1-B17/100)/4200000+B17/(3*B18*145000)))/1000</f>
        <v>2974.5805813839474</v>
      </c>
      <c r="P23" s="29">
        <f>LOG10(O23)</f>
        <v>3.4734257384572746</v>
      </c>
      <c r="R23" s="30">
        <f>(1/6*T37)^0.5</f>
        <v>2.1978687394004538E-2</v>
      </c>
      <c r="S23" s="30">
        <f>1-R23^2/Q37^2*12/6</f>
        <v>0.99615959412274857</v>
      </c>
      <c r="T23" s="30">
        <f>(1-8*R23^2/9*Q37^2)</f>
        <v>0.99989197920837058</v>
      </c>
    </row>
    <row r="24" spans="1:88" x14ac:dyDescent="0.25">
      <c r="A24" s="8">
        <v>4</v>
      </c>
      <c r="B24" s="23">
        <v>1</v>
      </c>
      <c r="C24" s="16">
        <v>1384.5302470434599</v>
      </c>
      <c r="D24" s="16">
        <v>11.4</v>
      </c>
      <c r="E24" s="16">
        <v>1408.17139833909</v>
      </c>
      <c r="F24" s="16">
        <v>11.39</v>
      </c>
      <c r="G24" s="16">
        <v>1323.7594348172699</v>
      </c>
      <c r="H24" s="16">
        <v>10.88</v>
      </c>
    </row>
    <row r="25" spans="1:88" x14ac:dyDescent="0.25">
      <c r="A25" s="8">
        <v>4</v>
      </c>
      <c r="B25" s="23">
        <v>10</v>
      </c>
      <c r="C25" s="16">
        <v>1781.6435737148399</v>
      </c>
      <c r="D25" s="16">
        <v>9.2799999999999994</v>
      </c>
      <c r="E25" s="16">
        <v>1817.0327817892801</v>
      </c>
      <c r="F25" s="16">
        <v>9.24</v>
      </c>
      <c r="G25" s="16">
        <v>1691.1400251965999</v>
      </c>
      <c r="H25" s="16">
        <v>9.1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277.45719281313001</v>
      </c>
      <c r="D26" s="16">
        <v>27.62</v>
      </c>
      <c r="E26" s="16">
        <v>328.07536337862001</v>
      </c>
      <c r="F26" s="16">
        <v>25.52</v>
      </c>
      <c r="G26" s="16">
        <v>322.85400481025999</v>
      </c>
      <c r="H26" s="16">
        <v>25.17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496.89929042225998</v>
      </c>
      <c r="D27" s="16">
        <v>23.01</v>
      </c>
      <c r="E27" s="16">
        <v>564.77695181093998</v>
      </c>
      <c r="F27" s="16">
        <v>21.32</v>
      </c>
      <c r="G27" s="16">
        <v>548.38768741580998</v>
      </c>
      <c r="H27" s="16">
        <v>20.54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814.24186118813998</v>
      </c>
      <c r="D28" s="16">
        <v>18.12</v>
      </c>
      <c r="E28" s="16">
        <v>895.02788125971006</v>
      </c>
      <c r="F28" s="16">
        <v>16.95</v>
      </c>
      <c r="G28" s="16">
        <v>860.21882413730998</v>
      </c>
      <c r="H28" s="16">
        <v>16.28</v>
      </c>
      <c r="I28" s="3"/>
      <c r="J28" s="3"/>
      <c r="K28" s="3"/>
      <c r="L28" s="3"/>
      <c r="M28" s="32">
        <f t="shared" ref="M28:N36" si="7">A23</f>
        <v>4</v>
      </c>
      <c r="N28" s="32">
        <f t="shared" si="7"/>
        <v>0.1</v>
      </c>
      <c r="O28" s="33">
        <f>C40</f>
        <v>1016.81123527544</v>
      </c>
      <c r="P28" s="33">
        <f>E40</f>
        <v>14.14</v>
      </c>
      <c r="Q28" s="34">
        <f>LOG10(O28)</f>
        <v>3.007240336317754</v>
      </c>
      <c r="R28" s="34">
        <f t="shared" ref="R28:R33" si="8">$N$42+($P$23-$N$42)/(1+EXP($O$42+$P$42*(LOG10(N28)+$Q$42/19.147142*(1/(273.2+M28)-1/($M$23+273.2)))))</f>
        <v>2.9799008597698302</v>
      </c>
      <c r="S28" s="34">
        <f>Q28-R28</f>
        <v>2.7339476547923791E-2</v>
      </c>
      <c r="T28" s="35">
        <f>S28^2</f>
        <v>7.4744697791447501E-4</v>
      </c>
      <c r="U28" s="34">
        <f>$Q$42/19.147143*(1/(M28+273.15)-1/($M$23+273.15))</f>
        <v>2.1081581087372796</v>
      </c>
      <c r="V28" s="34">
        <f>LOG10(N28)+U28</f>
        <v>1.1081581087372796</v>
      </c>
      <c r="W28" s="34">
        <f>10^V28</f>
        <v>12.827975114063662</v>
      </c>
    </row>
    <row r="29" spans="1:88" s="4" customFormat="1" x14ac:dyDescent="0.25">
      <c r="A29" s="15">
        <v>40</v>
      </c>
      <c r="B29" s="23">
        <v>0.1</v>
      </c>
      <c r="C29" s="16">
        <v>54.345640432346997</v>
      </c>
      <c r="D29" s="16">
        <v>29.84</v>
      </c>
      <c r="E29" s="16">
        <v>57.188380097343</v>
      </c>
      <c r="F29" s="16">
        <v>27.83</v>
      </c>
      <c r="G29" s="16">
        <v>58.595246156039998</v>
      </c>
      <c r="H29" s="16">
        <v>28.89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1372.1536933999398</v>
      </c>
      <c r="P29" s="33">
        <f>E39</f>
        <v>11.223333333333334</v>
      </c>
      <c r="Q29" s="34">
        <f t="shared" ref="Q29:Q33" si="9">LOG10(O29)</f>
        <v>3.1374027589342632</v>
      </c>
      <c r="R29" s="34">
        <f t="shared" si="8"/>
        <v>3.1311175658941632</v>
      </c>
      <c r="S29" s="34">
        <f t="shared" ref="S29:S33" si="10">Q29-R29</f>
        <v>6.2851930401000011E-3</v>
      </c>
      <c r="T29" s="35">
        <f t="shared" ref="T29:T33" si="11">S29^2</f>
        <v>3.9503651551321492E-5</v>
      </c>
      <c r="U29" s="34">
        <f t="shared" ref="U29:U33" si="12">$Q$42/19.147143*(1/(M29+273.15)-1/($M$23+273.15))</f>
        <v>2.1081581087372796</v>
      </c>
      <c r="V29" s="34">
        <f t="shared" ref="V29:V33" si="13">LOG10(N29)+U29</f>
        <v>2.1081581087372796</v>
      </c>
      <c r="W29" s="34">
        <f t="shared" ref="W29:W33" si="14">10^V29</f>
        <v>128.27975114063665</v>
      </c>
    </row>
    <row r="30" spans="1:88" s="4" customFormat="1" x14ac:dyDescent="0.25">
      <c r="A30" s="15">
        <v>40</v>
      </c>
      <c r="B30" s="23">
        <v>1</v>
      </c>
      <c r="C30" s="16">
        <v>113.724090373641</v>
      </c>
      <c r="D30" s="16">
        <v>31.37</v>
      </c>
      <c r="E30" s="16">
        <v>123.456122594112</v>
      </c>
      <c r="F30" s="16">
        <v>29.56</v>
      </c>
      <c r="G30" s="16">
        <v>122.890475415873</v>
      </c>
      <c r="H30" s="16">
        <v>29.22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1763.2721269002398</v>
      </c>
      <c r="P30" s="33">
        <f>E38</f>
        <v>9.2066666666666652</v>
      </c>
      <c r="Q30" s="34">
        <f t="shared" si="9"/>
        <v>3.2463193424133534</v>
      </c>
      <c r="R30" s="34">
        <f t="shared" si="8"/>
        <v>3.2400995198388367</v>
      </c>
      <c r="S30" s="34">
        <f t="shared" si="10"/>
        <v>6.219822574516698E-3</v>
      </c>
      <c r="T30" s="35">
        <f t="shared" si="11"/>
        <v>3.8686192858467527E-5</v>
      </c>
      <c r="U30" s="34">
        <f t="shared" si="12"/>
        <v>2.1081581087372796</v>
      </c>
      <c r="V30" s="34">
        <f t="shared" si="13"/>
        <v>3.1081581087372796</v>
      </c>
      <c r="W30" s="34">
        <f t="shared" si="14"/>
        <v>1282.7975114063668</v>
      </c>
    </row>
    <row r="31" spans="1:88" s="4" customFormat="1" x14ac:dyDescent="0.25">
      <c r="A31" s="15">
        <v>40</v>
      </c>
      <c r="B31" s="23">
        <v>10</v>
      </c>
      <c r="C31" s="16">
        <v>255.41145663560999</v>
      </c>
      <c r="D31" s="16">
        <v>27.59</v>
      </c>
      <c r="E31" s="16">
        <v>275.57170221899997</v>
      </c>
      <c r="F31" s="16">
        <v>26.67</v>
      </c>
      <c r="G31" s="16">
        <v>264.98394734427001</v>
      </c>
      <c r="H31" s="16">
        <v>26.26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309.46218700066999</v>
      </c>
      <c r="P31" s="33">
        <f>E43</f>
        <v>26.103333333333335</v>
      </c>
      <c r="Q31" s="34">
        <f t="shared" si="9"/>
        <v>2.4906075904152383</v>
      </c>
      <c r="R31" s="34">
        <f t="shared" si="8"/>
        <v>2.4943261233681575</v>
      </c>
      <c r="S31" s="34">
        <f t="shared" si="10"/>
        <v>-3.7185329529192401E-3</v>
      </c>
      <c r="T31" s="35">
        <f t="shared" si="11"/>
        <v>1.3827487321946283E-5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536.68797654967</v>
      </c>
      <c r="P32" s="33">
        <f>E42</f>
        <v>21.623333333333335</v>
      </c>
      <c r="Q32" s="34">
        <f t="shared" si="9"/>
        <v>2.7297218658727957</v>
      </c>
      <c r="R32" s="34">
        <f t="shared" si="8"/>
        <v>2.753731664550271</v>
      </c>
      <c r="S32" s="34">
        <f t="shared" si="10"/>
        <v>-2.4009798677475214E-2</v>
      </c>
      <c r="T32" s="35">
        <f t="shared" si="11"/>
        <v>5.7647043253289051E-4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856.49618886172004</v>
      </c>
      <c r="P33" s="33">
        <f>E41</f>
        <v>17.116666666666667</v>
      </c>
      <c r="Q33" s="34">
        <f t="shared" si="9"/>
        <v>2.932725434832169</v>
      </c>
      <c r="R33" s="34">
        <f t="shared" si="8"/>
        <v>2.9607794230831423</v>
      </c>
      <c r="S33" s="34">
        <f t="shared" si="10"/>
        <v>-2.8053988250973383E-2</v>
      </c>
      <c r="T33" s="35">
        <f t="shared" si="11"/>
        <v>7.8702625678575262E-4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0.1</v>
      </c>
      <c r="O34" s="33">
        <f>C46</f>
        <v>56.709755561909994</v>
      </c>
      <c r="P34" s="33">
        <f>E46</f>
        <v>28.853333333333335</v>
      </c>
      <c r="Q34" s="34">
        <f>LOG10(O34)</f>
        <v>1.7536577753349769</v>
      </c>
      <c r="R34" s="34">
        <f>$N$42+($P$23-$N$42)/(1+EXP($O$42+$P$42*(LOG10(N34)+$Q$42/19.147142*(1/(273.2+M34)-1/($M$23+273.2)))))</f>
        <v>1.755315557035815</v>
      </c>
      <c r="S34" s="34">
        <f>Q34-R34</f>
        <v>-1.6577817008380791E-3</v>
      </c>
      <c r="T34" s="35">
        <f>S34^2</f>
        <v>2.7482401676335941E-6</v>
      </c>
      <c r="U34" s="34">
        <f>$Q$42/19.147143*(1/(M34+273.15)-1/($M$23+273.15))</f>
        <v>-2.3322529931204619</v>
      </c>
      <c r="V34" s="34">
        <f>LOG10(N34)+U34</f>
        <v>-3.3322529931204619</v>
      </c>
      <c r="W34" s="34">
        <f>10^V34</f>
        <v>4.6531495082692521E-4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1</v>
      </c>
      <c r="O35" s="33">
        <f>C45</f>
        <v>120.023562794542</v>
      </c>
      <c r="P35" s="33">
        <f>E45</f>
        <v>30.05</v>
      </c>
      <c r="Q35" s="34">
        <f>LOG10(O35)</f>
        <v>2.0792665142734736</v>
      </c>
      <c r="R35" s="34">
        <f>$N$42+($P$23-$N$42)/(1+EXP($O$42+$P$42*(LOG10(N35)+$Q$42/19.147142*(1/(273.2+M35)-1/($M$23+273.2)))))</f>
        <v>2.0841324218624009</v>
      </c>
      <c r="S35" s="34">
        <f>Q35-R35</f>
        <v>-4.865907588927243E-3</v>
      </c>
      <c r="T35" s="35">
        <f>S35^2</f>
        <v>2.3677056663979736E-5</v>
      </c>
      <c r="U35" s="34">
        <f>$Q$42/19.147143*(1/(M35+273.15)-1/($M$23+273.15))</f>
        <v>-2.3322529931204619</v>
      </c>
      <c r="V35" s="34">
        <f>LOG10(N35)+U35</f>
        <v>-2.3322529931204619</v>
      </c>
      <c r="W35" s="34">
        <f>10^V35</f>
        <v>4.6531495082692536E-3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10</v>
      </c>
      <c r="O36" s="33">
        <f>C44</f>
        <v>265.32236873296</v>
      </c>
      <c r="P36" s="33">
        <f>E44</f>
        <v>26.840000000000003</v>
      </c>
      <c r="Q36" s="34">
        <f>LOG10(O36)</f>
        <v>2.4237738659181431</v>
      </c>
      <c r="R36" s="34">
        <f>$N$42+($P$23-$N$42)/(1+EXP($O$42+$P$42*(LOG10(N36)+$Q$42/19.147142*(1/(273.2+M36)-1/($M$23+273.2)))))</f>
        <v>2.3979090268197885</v>
      </c>
      <c r="S36" s="34">
        <f>Q36-R36</f>
        <v>2.5864839098354686E-2</v>
      </c>
      <c r="T36" s="35">
        <f>S36^2</f>
        <v>6.689899015837773E-4</v>
      </c>
      <c r="U36" s="34">
        <f>$Q$42/19.147143*(1/(M36+273.15)-1/($M$23+273.15))</f>
        <v>-2.3322529931204619</v>
      </c>
      <c r="V36" s="34">
        <f>LOG10(N36)+U36</f>
        <v>-1.3322529931204619</v>
      </c>
      <c r="W36" s="34">
        <f>10^V36</f>
        <v>4.6531495082692567E-2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P37" s="32" t="s">
        <v>68</v>
      </c>
      <c r="Q37" s="35">
        <f>STDEV(Q28:Q36)</f>
        <v>0.50156611321872846</v>
      </c>
      <c r="S37" s="32" t="s">
        <v>69</v>
      </c>
      <c r="T37" s="35">
        <f>SUM(T28:T36)</f>
        <v>2.8983761973802439E-3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1763.2721269002398</v>
      </c>
      <c r="D38" s="23">
        <f>(STDEV(C25,E25,G25)/C38)*100</f>
        <v>3.6821287982458406</v>
      </c>
      <c r="E38" s="23">
        <f>AVERAGE(D25,F25,H25)</f>
        <v>9.2066666666666652</v>
      </c>
      <c r="F38" s="23">
        <f>STDEV(D25,F25,H25)</f>
        <v>9.451631252505216E-2</v>
      </c>
      <c r="G38" s="3"/>
      <c r="H38" s="3"/>
      <c r="I38" s="26" t="s">
        <v>32</v>
      </c>
      <c r="J38" s="8">
        <v>20</v>
      </c>
      <c r="K38" s="3"/>
      <c r="L38" s="3"/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1372.1536933999398</v>
      </c>
      <c r="D39" s="23">
        <f>(STDEV(C24,E24,G24)/C39)*100</f>
        <v>3.1735303555670016</v>
      </c>
      <c r="E39" s="23">
        <f>AVERAGE(D24,F24,H24)</f>
        <v>11.223333333333334</v>
      </c>
      <c r="F39" s="23">
        <f>STDEV(D24,F24,H24)</f>
        <v>0.29737742572921239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1016.81123527544</v>
      </c>
      <c r="D40" s="23">
        <f>(STDEV(C23,E23,G23)/C40)*100</f>
        <v>2.4457767308644867</v>
      </c>
      <c r="E40" s="23">
        <f>AVERAGE(D23,F23,H23)</f>
        <v>14.14</v>
      </c>
      <c r="F40" s="23">
        <f>STDEV(D23,F23,H23)</f>
        <v>0.47696960070847289</v>
      </c>
      <c r="G40" s="3"/>
      <c r="H40" s="3"/>
      <c r="I40" s="12" t="s">
        <v>94</v>
      </c>
      <c r="J40" s="59">
        <f>G115</f>
        <v>5527.6568624597749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856.49618886172004</v>
      </c>
      <c r="D41" s="23">
        <f>(STDEV(C28,E28,G28)/C41)*100</f>
        <v>4.7310730782993495</v>
      </c>
      <c r="E41" s="23">
        <f>AVERAGE(D28,F28,H28)</f>
        <v>17.116666666666667</v>
      </c>
      <c r="F41" s="23">
        <f>STDEV(D28,F28,H28)</f>
        <v>0.93125363533966055</v>
      </c>
      <c r="G41" s="3"/>
      <c r="H41" s="3"/>
      <c r="I41" s="69" t="s">
        <v>35</v>
      </c>
      <c r="J41" s="62">
        <f>AVERAGE(E41:E42)</f>
        <v>19.37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536.68797654967</v>
      </c>
      <c r="D42" s="23">
        <f>(STDEV(C27,E27,G27)/C42)*100</f>
        <v>6.5995544872511402</v>
      </c>
      <c r="E42" s="23">
        <f>AVERAGE(D27,F27,H27)</f>
        <v>21.623333333333335</v>
      </c>
      <c r="F42" s="23">
        <f>STDEV(D27,F27,H27)</f>
        <v>1.2626295313089015</v>
      </c>
      <c r="G42" s="3"/>
      <c r="H42" s="3"/>
      <c r="I42" s="32" t="s">
        <v>105</v>
      </c>
      <c r="J42" s="70">
        <f>(COS(RADIANS(J41)))^2</f>
        <v>0.88999685773427928</v>
      </c>
      <c r="K42" s="3"/>
      <c r="L42" s="3"/>
      <c r="M42" s="38" t="s">
        <v>78</v>
      </c>
      <c r="N42" s="39">
        <f>N43</f>
        <v>0.34202129784542046</v>
      </c>
      <c r="O42" s="39">
        <f>O43*-1</f>
        <v>-1.2092652461336681</v>
      </c>
      <c r="P42" s="39">
        <f>P43*-1</f>
        <v>-0.42160407656802651</v>
      </c>
      <c r="Q42" s="40">
        <f>Q43*200000</f>
        <v>204970.78237105187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309.46218700066999</v>
      </c>
      <c r="D43" s="23">
        <f>(STDEV(C26,E26,G26)/C43)*100</f>
        <v>8.9961933083732948</v>
      </c>
      <c r="E43" s="23">
        <f>AVERAGE(D26,F26,H26)</f>
        <v>26.103333333333335</v>
      </c>
      <c r="F43" s="23">
        <f>STDEV(D26,F26,H26)</f>
        <v>1.3250786140200639</v>
      </c>
      <c r="G43" s="3"/>
      <c r="H43" s="3"/>
      <c r="I43" s="32" t="s">
        <v>106</v>
      </c>
      <c r="J43" s="70">
        <f>SIN(RADIANS(J41))</f>
        <v>0.33166721614552247</v>
      </c>
      <c r="K43" s="3"/>
      <c r="L43" s="3"/>
      <c r="M43" s="38" t="s">
        <v>80</v>
      </c>
      <c r="N43" s="39">
        <v>0.34202129784542046</v>
      </c>
      <c r="O43" s="39">
        <v>1.2092652461336681</v>
      </c>
      <c r="P43" s="39">
        <v>0.42160407656802651</v>
      </c>
      <c r="Q43" s="41">
        <v>1.0248539118552593</v>
      </c>
      <c r="R43" s="4" t="s">
        <v>81</v>
      </c>
    </row>
    <row r="44" spans="1:23" s="4" customFormat="1" ht="18" x14ac:dyDescent="0.35">
      <c r="A44" s="8">
        <f>A29</f>
        <v>40</v>
      </c>
      <c r="B44" s="23">
        <f>B31</f>
        <v>10</v>
      </c>
      <c r="C44" s="23">
        <f>AVERAGE(C31,E31,G31)</f>
        <v>265.32236873296</v>
      </c>
      <c r="D44" s="23">
        <f>(STDEV(C31,E31,G31)/C44)*100</f>
        <v>3.8008037696580175</v>
      </c>
      <c r="E44" s="23">
        <f>AVERAGE(D31,F31,H31)</f>
        <v>26.840000000000003</v>
      </c>
      <c r="F44" s="23">
        <f>STDEV(D31,F31,H31)</f>
        <v>0.68110204815431197</v>
      </c>
      <c r="G44" s="3"/>
      <c r="H44" s="3"/>
      <c r="I44" s="12" t="s">
        <v>107</v>
      </c>
      <c r="J44" s="59">
        <f>(J40*J42)/J43</f>
        <v>14832.93192313587</v>
      </c>
      <c r="K44" s="3"/>
      <c r="L44" s="3"/>
    </row>
    <row r="45" spans="1:23" s="4" customFormat="1" x14ac:dyDescent="0.25">
      <c r="A45" s="8">
        <f>A30</f>
        <v>40</v>
      </c>
      <c r="B45" s="23">
        <f>B30</f>
        <v>1</v>
      </c>
      <c r="C45" s="23">
        <f>AVERAGE(C30,E30,G30)</f>
        <v>120.023562794542</v>
      </c>
      <c r="D45" s="23">
        <f>(STDEV(C30,E30,G30)/C45)*100</f>
        <v>4.5514640252499881</v>
      </c>
      <c r="E45" s="23">
        <f>AVERAGE(D30,F30,H30)</f>
        <v>30.05</v>
      </c>
      <c r="F45" s="23">
        <f>STDEV(D30,F30,H30)</f>
        <v>1.1557248807566631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8">
        <f>A31</f>
        <v>40</v>
      </c>
      <c r="B46" s="23">
        <f>B29</f>
        <v>0.1</v>
      </c>
      <c r="C46" s="23">
        <f>AVERAGE(C29,E29,G29)</f>
        <v>56.709755561909994</v>
      </c>
      <c r="D46" s="23">
        <f>(STDEV(C29,E29,G29)/C46)*100</f>
        <v>3.8174300631369977</v>
      </c>
      <c r="E46" s="23">
        <f>AVERAGE(D29,F29,H29)</f>
        <v>28.853333333333335</v>
      </c>
      <c r="F46" s="23">
        <f>STDEV(D29,F29,H29)</f>
        <v>1.0055015332327122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3.4417054139032084</v>
      </c>
      <c r="O46" s="44">
        <f t="shared" ref="O46" si="17">10^N46</f>
        <v>2765.0654388514499</v>
      </c>
    </row>
    <row r="47" spans="1:23" s="4" customFormat="1" x14ac:dyDescent="0.25">
      <c r="A47" s="3"/>
      <c r="B47" s="45"/>
      <c r="C47" s="24"/>
      <c r="D47" s="24"/>
      <c r="E47" s="24"/>
      <c r="F47" s="24"/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3.4253266282724981</v>
      </c>
      <c r="O47" s="44">
        <f>10^N47</f>
        <v>2662.7269155820859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3.4006891134655826</v>
      </c>
      <c r="O48" s="44">
        <f>10^N48</f>
        <v>2515.8753120234301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3.3638800431823679</v>
      </c>
      <c r="O49" s="44">
        <f t="shared" ref="O49:O62" si="18">10^N49</f>
        <v>2311.4262611446611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3.3094420645738767</v>
      </c>
      <c r="O50" s="44">
        <f t="shared" si="18"/>
        <v>2039.1166207607139</v>
      </c>
    </row>
    <row r="51" spans="1:15" s="4" customFormat="1" x14ac:dyDescent="0.25">
      <c r="A51" s="24">
        <f>O23</f>
        <v>2974.5805813839474</v>
      </c>
      <c r="B51" s="45">
        <f>10^N42</f>
        <v>2.1979676586986958</v>
      </c>
      <c r="C51" s="46">
        <f>O42</f>
        <v>-1.2092652461336681</v>
      </c>
      <c r="D51" s="46">
        <f>P42</f>
        <v>-0.42160407656802651</v>
      </c>
      <c r="E51" s="47">
        <f>Q42</f>
        <v>204970.78237105187</v>
      </c>
      <c r="F51" s="48">
        <f>S23</f>
        <v>0.99615959412274857</v>
      </c>
      <c r="G51" s="45">
        <f>R23/Q37</f>
        <v>4.3820120248873017E-2</v>
      </c>
      <c r="H51" s="3"/>
      <c r="I51" s="3"/>
      <c r="J51" s="3"/>
      <c r="K51" s="3"/>
      <c r="L51" s="3"/>
      <c r="M51" s="43">
        <v>1000</v>
      </c>
      <c r="N51" s="21">
        <f t="shared" si="16"/>
        <v>3.2301295672201569</v>
      </c>
      <c r="O51" s="44">
        <f t="shared" si="18"/>
        <v>1698.750381293125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3.1170634692098069</v>
      </c>
      <c r="O52" s="44">
        <f t="shared" si="18"/>
        <v>1309.373265090147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2.9607794230831423</v>
      </c>
      <c r="O53" s="44">
        <f t="shared" si="18"/>
        <v>913.64908386912464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2.753731664550271</v>
      </c>
      <c r="O54" s="44">
        <f t="shared" si="18"/>
        <v>567.19404765361935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2.4943261233681575</v>
      </c>
      <c r="O55" s="44">
        <f t="shared" si="18"/>
        <v>312.12325214647188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2.1911340659732348</v>
      </c>
      <c r="O56" s="44">
        <f t="shared" si="18"/>
        <v>155.2866303181469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1.8642496779158253</v>
      </c>
      <c r="O57" s="44">
        <f t="shared" si="18"/>
        <v>73.155953958964119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1.54111461315242</v>
      </c>
      <c r="O58" s="44">
        <f t="shared" si="18"/>
        <v>34.762789061121602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1.2479565944278797</v>
      </c>
      <c r="O59" s="44">
        <f t="shared" si="18"/>
        <v>17.699320535768297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1.0019915132407737</v>
      </c>
      <c r="O60" s="44">
        <f t="shared" si="18"/>
        <v>10.045961587855301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0.80880012983534821</v>
      </c>
      <c r="O61" s="18">
        <f t="shared" si="18"/>
        <v>6.4387287539169549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0.66477575730971972</v>
      </c>
      <c r="O62" s="18">
        <f t="shared" si="18"/>
        <v>4.6214233819072996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N5-1 RH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4.1630921863602079</v>
      </c>
      <c r="E85" s="57">
        <f>10^(LOG(C85)+D85)</f>
        <v>363942.01480433886</v>
      </c>
      <c r="F85" s="58">
        <f>10^($N$42+($P$23-$N$42)/(1+EXP($O$42+$P$42*(LOG10(C85)+$Q$42/19.147142*(1/(273.2+A85)-1/($M$23+273.2))))))</f>
        <v>2433.6564691491672</v>
      </c>
      <c r="G85" s="59">
        <f>F85*6.89476</f>
        <v>16779.477277230912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4.1630921863602079</v>
      </c>
      <c r="E86" s="57">
        <f t="shared" ref="E86:E115" si="20">10^(LOG(C86)+D86)</f>
        <v>145576.80592173542</v>
      </c>
      <c r="F86" s="58">
        <f t="shared" ref="F86:F115" si="21">10^($N$42+($P$23-$N$42)/(1+EXP($O$42+$P$42*(LOG10(C86)+$Q$42/19.147142*(1/(273.2+A86)-1/($M$23+273.2))))))</f>
        <v>2348.8661073040821</v>
      </c>
      <c r="G86" s="59">
        <f t="shared" ref="G86:G115" si="22">F86*6.89476</f>
        <v>16194.868081995892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4.1630921863602079</v>
      </c>
      <c r="E87" s="57">
        <f t="shared" si="20"/>
        <v>72788.402960867694</v>
      </c>
      <c r="F87" s="58">
        <f t="shared" si="21"/>
        <v>2277.6793334868812</v>
      </c>
      <c r="G87" s="59">
        <f t="shared" si="22"/>
        <v>15704.052361352009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4.1630921863602079</v>
      </c>
      <c r="E88" s="57">
        <f t="shared" si="20"/>
        <v>14557.68059217355</v>
      </c>
      <c r="F88" s="58">
        <f t="shared" si="21"/>
        <v>2087.9094665634693</v>
      </c>
      <c r="G88" s="59">
        <f t="shared" si="22"/>
        <v>14395.634673683146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4.1630921863602079</v>
      </c>
      <c r="E89" s="57">
        <f t="shared" si="20"/>
        <v>7278.8402960867752</v>
      </c>
      <c r="F89" s="58">
        <f t="shared" si="21"/>
        <v>1995.549480374061</v>
      </c>
      <c r="G89" s="59">
        <f t="shared" si="22"/>
        <v>13758.834735303861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4.1630921863602079</v>
      </c>
      <c r="E90" s="57">
        <f t="shared" si="20"/>
        <v>1455.7680592173535</v>
      </c>
      <c r="F90" s="58">
        <f t="shared" si="21"/>
        <v>1757.8580141841928</v>
      </c>
      <c r="G90" s="59">
        <f t="shared" si="22"/>
        <v>12120.009121876605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2.0463169590289079</v>
      </c>
      <c r="E91" s="57">
        <f t="shared" si="20"/>
        <v>2781.3584829766528</v>
      </c>
      <c r="F91" s="58">
        <f t="shared" si="21"/>
        <v>1857.4400518651378</v>
      </c>
      <c r="G91" s="59">
        <f t="shared" si="22"/>
        <v>12806.603371997677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2.0463169590289079</v>
      </c>
      <c r="E92" s="57">
        <f t="shared" si="20"/>
        <v>1112.5433931906612</v>
      </c>
      <c r="F92" s="58">
        <f t="shared" si="21"/>
        <v>1715.5707085643762</v>
      </c>
      <c r="G92" s="59">
        <f t="shared" si="22"/>
        <v>11828.448298581317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2.0463169590289079</v>
      </c>
      <c r="E93" s="57">
        <f t="shared" si="20"/>
        <v>556.27169659533047</v>
      </c>
      <c r="F93" s="58">
        <f t="shared" si="21"/>
        <v>1602.6503791204682</v>
      </c>
      <c r="G93" s="59">
        <f t="shared" si="22"/>
        <v>11049.889727944639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2.0463169590289079</v>
      </c>
      <c r="E94" s="57">
        <f t="shared" si="20"/>
        <v>111.25433931906609</v>
      </c>
      <c r="F94" s="58">
        <f t="shared" si="21"/>
        <v>1327.6692354187417</v>
      </c>
      <c r="G94" s="59">
        <f t="shared" si="22"/>
        <v>9153.9607375957221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2.0463169590289079</v>
      </c>
      <c r="E95" s="57">
        <f t="shared" si="20"/>
        <v>55.627169659533038</v>
      </c>
      <c r="F95" s="58">
        <f t="shared" si="21"/>
        <v>1206.7405391275852</v>
      </c>
      <c r="G95" s="59">
        <f t="shared" si="22"/>
        <v>8320.1863995553085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2.0463169590289079</v>
      </c>
      <c r="E96" s="57">
        <f t="shared" si="20"/>
        <v>11.125433931906612</v>
      </c>
      <c r="F96" s="58">
        <f t="shared" si="21"/>
        <v>931.0399545126254</v>
      </c>
      <c r="G96" s="59">
        <f t="shared" si="22"/>
        <v>6419.2970367754688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-0.13788682372554795</v>
      </c>
      <c r="E97" s="57">
        <f t="shared" si="20"/>
        <v>18.199237180362214</v>
      </c>
      <c r="F97" s="58">
        <f t="shared" si="21"/>
        <v>1014.0906115251905</v>
      </c>
      <c r="G97" s="59">
        <f t="shared" si="22"/>
        <v>6991.9113847194221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-0.13788682372554795</v>
      </c>
      <c r="E98" s="57">
        <f t="shared" si="20"/>
        <v>7.2796948721448818</v>
      </c>
      <c r="F98" s="58">
        <f t="shared" si="21"/>
        <v>861.73853385762061</v>
      </c>
      <c r="G98" s="59">
        <f t="shared" si="22"/>
        <v>5941.4803737001685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-0.13788682372554795</v>
      </c>
      <c r="E99" s="57">
        <f t="shared" si="20"/>
        <v>3.6398474360724413</v>
      </c>
      <c r="F99" s="58">
        <f t="shared" si="21"/>
        <v>752.39619491115366</v>
      </c>
      <c r="G99" s="59">
        <f t="shared" si="22"/>
        <v>5187.591188825626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-0.13788682372554795</v>
      </c>
      <c r="E100" s="57">
        <f t="shared" si="20"/>
        <v>0.72796948721448795</v>
      </c>
      <c r="F100" s="58">
        <f t="shared" si="21"/>
        <v>526.03605781145473</v>
      </c>
      <c r="G100" s="59">
        <f t="shared" si="22"/>
        <v>3626.8923699561055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-0.13788682372554795</v>
      </c>
      <c r="E101" s="57">
        <f t="shared" si="20"/>
        <v>0.36398474360724398</v>
      </c>
      <c r="F101" s="58">
        <f t="shared" si="21"/>
        <v>442.68919988460055</v>
      </c>
      <c r="G101" s="59">
        <f t="shared" si="22"/>
        <v>3052.2357877963486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-0.13788682372554795</v>
      </c>
      <c r="E102" s="57">
        <f t="shared" si="20"/>
        <v>7.2796948721448776E-2</v>
      </c>
      <c r="F102" s="58">
        <f t="shared" si="21"/>
        <v>284.96953402921139</v>
      </c>
      <c r="G102" s="59">
        <f t="shared" si="22"/>
        <v>1964.7965444432455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-2.0879307855761451</v>
      </c>
      <c r="E103" s="57">
        <f t="shared" si="20"/>
        <v>0.20417813054433717</v>
      </c>
      <c r="F103" s="58">
        <f t="shared" si="21"/>
        <v>380.40681686725492</v>
      </c>
      <c r="G103" s="59">
        <f t="shared" si="22"/>
        <v>2622.8137046636743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-2.0879307855761451</v>
      </c>
      <c r="E104" s="57">
        <f t="shared" si="20"/>
        <v>8.1671252217734844E-2</v>
      </c>
      <c r="F104" s="58">
        <f t="shared" si="21"/>
        <v>294.71718315768595</v>
      </c>
      <c r="G104" s="59">
        <f t="shared" si="22"/>
        <v>2032.0042457482866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-2.0879307855761451</v>
      </c>
      <c r="E105" s="57">
        <f t="shared" si="20"/>
        <v>4.0835626108867401E-2</v>
      </c>
      <c r="F105" s="58">
        <f t="shared" si="21"/>
        <v>240.40362042263959</v>
      </c>
      <c r="G105" s="59">
        <f t="shared" si="22"/>
        <v>1657.5252659451985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-2.0879307855761451</v>
      </c>
      <c r="E106" s="57">
        <f t="shared" si="20"/>
        <v>8.1671252217734806E-3</v>
      </c>
      <c r="F106" s="58">
        <f t="shared" si="21"/>
        <v>145.61099413059608</v>
      </c>
      <c r="G106" s="59">
        <f t="shared" si="22"/>
        <v>1003.9528578918686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-2.0879307855761451</v>
      </c>
      <c r="E107" s="57">
        <f t="shared" si="20"/>
        <v>4.0835626108867394E-3</v>
      </c>
      <c r="F107" s="58">
        <f t="shared" si="21"/>
        <v>116.30648543426643</v>
      </c>
      <c r="G107" s="59">
        <f t="shared" si="22"/>
        <v>801.90530351276277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-2.0879307855761451</v>
      </c>
      <c r="E108" s="57">
        <f t="shared" si="20"/>
        <v>8.1671252217734773E-4</v>
      </c>
      <c r="F108" s="58">
        <f t="shared" si="21"/>
        <v>68.469370230909149</v>
      </c>
      <c r="G108" s="59">
        <f t="shared" si="22"/>
        <v>472.07987509326313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-3.8395542110063143</v>
      </c>
      <c r="E109" s="57">
        <f t="shared" si="20"/>
        <v>3.6173105721166742E-3</v>
      </c>
      <c r="F109" s="58">
        <f t="shared" si="21"/>
        <v>111.83130682259947</v>
      </c>
      <c r="G109" s="59">
        <f t="shared" si="22"/>
        <v>771.05002102818594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-3.8395542110063143</v>
      </c>
      <c r="E110" s="57">
        <f t="shared" si="20"/>
        <v>1.446924228846671E-3</v>
      </c>
      <c r="F110" s="58">
        <f t="shared" si="21"/>
        <v>82.718683696653315</v>
      </c>
      <c r="G110" s="59">
        <f t="shared" si="22"/>
        <v>570.32547160433739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-3.8395542110063143</v>
      </c>
      <c r="E111" s="57">
        <f t="shared" si="20"/>
        <v>7.2346211442333541E-4</v>
      </c>
      <c r="F111" s="58">
        <f t="shared" si="21"/>
        <v>65.818063977112971</v>
      </c>
      <c r="G111" s="59">
        <f t="shared" si="22"/>
        <v>453.7997547868394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-3.8395542110063143</v>
      </c>
      <c r="E112" s="57">
        <f t="shared" si="20"/>
        <v>1.4469242288466707E-4</v>
      </c>
      <c r="F112" s="58">
        <f t="shared" si="21"/>
        <v>39.078689605541307</v>
      </c>
      <c r="G112" s="59">
        <f t="shared" si="22"/>
        <v>269.43818594470196</v>
      </c>
    </row>
    <row r="113" spans="1:8" x14ac:dyDescent="0.25">
      <c r="A113" s="23">
        <v>54.444444444444443</v>
      </c>
      <c r="B113" s="8">
        <v>130</v>
      </c>
      <c r="C113" s="8">
        <v>0.5</v>
      </c>
      <c r="D113" s="56">
        <f t="shared" si="19"/>
        <v>-3.8395542110063143</v>
      </c>
      <c r="E113" s="57">
        <f t="shared" si="20"/>
        <v>7.2346211442333519E-5</v>
      </c>
      <c r="F113" s="58">
        <f t="shared" si="21"/>
        <v>31.474199393974292</v>
      </c>
      <c r="G113" s="59">
        <f t="shared" si="22"/>
        <v>217.00705101359819</v>
      </c>
    </row>
    <row r="114" spans="1:8" x14ac:dyDescent="0.25">
      <c r="A114" s="23">
        <v>54.444444444444443</v>
      </c>
      <c r="B114" s="8">
        <v>130</v>
      </c>
      <c r="C114" s="8">
        <v>0.1</v>
      </c>
      <c r="D114" s="56">
        <f t="shared" si="19"/>
        <v>-3.8395542110063143</v>
      </c>
      <c r="E114" s="57">
        <f t="shared" si="20"/>
        <v>1.4469242288466691E-5</v>
      </c>
      <c r="F114" s="58">
        <f t="shared" si="21"/>
        <v>19.609566072393651</v>
      </c>
      <c r="G114" s="59">
        <f t="shared" si="22"/>
        <v>135.20325177329684</v>
      </c>
    </row>
    <row r="115" spans="1:8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801.71853153115921</v>
      </c>
      <c r="G115" s="67">
        <f t="shared" si="22"/>
        <v>5527.6568624597749</v>
      </c>
      <c r="H115" s="68" t="s">
        <v>103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18CD-674E-43AB-8AF2-6AF5437EB7EF}">
  <dimension ref="A1:CJ115"/>
  <sheetViews>
    <sheetView view="pageBreakPreview" topLeftCell="A13" zoomScale="80" zoomScaleNormal="70" zoomScaleSheetLayoutView="80" workbookViewId="0">
      <selection activeCell="J41" sqref="J41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9.42578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121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2.6469999999999998</v>
      </c>
      <c r="F14" s="8" t="s">
        <v>14</v>
      </c>
      <c r="G14" s="60" t="s">
        <v>122</v>
      </c>
      <c r="H14" s="16">
        <v>9.8000000000000007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5.09</v>
      </c>
      <c r="F15" s="8" t="s">
        <v>24</v>
      </c>
      <c r="G15" s="60" t="s">
        <v>123</v>
      </c>
      <c r="H15" s="16">
        <v>9.6</v>
      </c>
      <c r="M15" s="4" t="str">
        <f t="shared" ref="M15:N17" si="0">G14</f>
        <v>1C</v>
      </c>
      <c r="N15" s="18">
        <f t="shared" si="0"/>
        <v>9.8000000000000007</v>
      </c>
      <c r="O15" s="4">
        <f>$B$14</f>
        <v>2.6469999999999998</v>
      </c>
      <c r="P15" s="20">
        <f>$B$15</f>
        <v>5.09</v>
      </c>
      <c r="Q15" s="21">
        <f>$B$16</f>
        <v>2.4860000000000002</v>
      </c>
      <c r="R15" s="21">
        <f t="shared" ref="R15:R17" si="1">((Q15*(N15-100))/-100)</f>
        <v>2.2423720000000005</v>
      </c>
      <c r="S15" s="18">
        <f t="shared" ref="S15:S17" si="2">100-((R15*(100-P15))/O15)</f>
        <v>19.598214386097453</v>
      </c>
      <c r="T15" s="18">
        <f t="shared" ref="T15:T17" si="3">100*((S15-N15)/S15)</f>
        <v>49.995444447470135</v>
      </c>
      <c r="U15" s="18"/>
      <c r="W15" s="18"/>
    </row>
    <row r="16" spans="1:23" x14ac:dyDescent="0.25">
      <c r="A16" s="8" t="s">
        <v>25</v>
      </c>
      <c r="B16" s="22">
        <v>2.4860000000000002</v>
      </c>
      <c r="F16" s="8" t="s">
        <v>26</v>
      </c>
      <c r="G16" s="60" t="s">
        <v>118</v>
      </c>
      <c r="H16" s="16">
        <v>10.4</v>
      </c>
      <c r="M16" s="4" t="str">
        <f t="shared" si="0"/>
        <v>2D</v>
      </c>
      <c r="N16" s="18">
        <f t="shared" si="0"/>
        <v>9.6</v>
      </c>
      <c r="O16" s="4">
        <f t="shared" ref="O16:O17" si="4">$B$14</f>
        <v>2.6469999999999998</v>
      </c>
      <c r="P16" s="20">
        <f t="shared" ref="P16:P17" si="5">$B$15</f>
        <v>5.09</v>
      </c>
      <c r="Q16" s="21">
        <f t="shared" ref="Q16:Q17" si="6">$B$16</f>
        <v>2.4860000000000002</v>
      </c>
      <c r="R16" s="21">
        <f t="shared" si="1"/>
        <v>2.247344</v>
      </c>
      <c r="S16" s="18">
        <f t="shared" si="2"/>
        <v>19.419939916887046</v>
      </c>
      <c r="T16" s="18">
        <f t="shared" si="3"/>
        <v>50.56627342264791</v>
      </c>
      <c r="U16" s="18"/>
    </row>
    <row r="17" spans="1:88" x14ac:dyDescent="0.25">
      <c r="A17" s="8" t="s">
        <v>21</v>
      </c>
      <c r="B17" s="23">
        <f>AVERAGE(S15:S17)</f>
        <v>19.717064032237747</v>
      </c>
      <c r="M17" s="4" t="str">
        <f t="shared" si="0"/>
        <v>3D</v>
      </c>
      <c r="N17" s="18">
        <f t="shared" si="0"/>
        <v>10.4</v>
      </c>
      <c r="O17" s="4">
        <f t="shared" si="4"/>
        <v>2.6469999999999998</v>
      </c>
      <c r="P17" s="20">
        <f t="shared" si="5"/>
        <v>5.09</v>
      </c>
      <c r="Q17" s="21">
        <f t="shared" si="6"/>
        <v>2.4860000000000002</v>
      </c>
      <c r="R17" s="21">
        <f t="shared" si="1"/>
        <v>2.2274560000000001</v>
      </c>
      <c r="S17" s="18">
        <f t="shared" si="2"/>
        <v>20.133037793728747</v>
      </c>
      <c r="T17" s="18">
        <f t="shared" si="3"/>
        <v>48.343612590646885</v>
      </c>
    </row>
    <row r="18" spans="1:88" x14ac:dyDescent="0.25">
      <c r="A18" s="8" t="s">
        <v>22</v>
      </c>
      <c r="B18" s="23">
        <f>AVERAGE(T15:T17)</f>
        <v>49.635110153588307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1214.6910558337499</v>
      </c>
      <c r="D23" s="16">
        <v>10.61</v>
      </c>
      <c r="E23" s="16">
        <v>1324.62966124533</v>
      </c>
      <c r="F23" s="16">
        <v>10.18</v>
      </c>
      <c r="G23" s="16">
        <v>1215.99639547584</v>
      </c>
      <c r="H23" s="16">
        <v>10.23</v>
      </c>
      <c r="M23" s="4">
        <v>20</v>
      </c>
      <c r="N23" s="29">
        <f>(20+(B18*3*145000)/(B17))^0.58/(650+((B18*3*145000)/B17)^0.58)</f>
        <v>0.83044058450578662</v>
      </c>
      <c r="O23" s="18">
        <f>(N23*(4200000*(1-B17/100)+3*145000*(B17*B18)/10000)+(1-N23)/((1-B17/100)/4200000+B17/(3*B18*145000)))/1000</f>
        <v>2989.0403028449887</v>
      </c>
      <c r="P23" s="29">
        <f>LOG10(O23)</f>
        <v>3.4755317709058513</v>
      </c>
      <c r="R23" s="30">
        <f>(1/6*T37)^0.5</f>
        <v>6.5081157695537515E-3</v>
      </c>
      <c r="S23" s="30">
        <f>1-R23^2/Q37^2*12/6</f>
        <v>0.9994916062902568</v>
      </c>
      <c r="T23" s="30">
        <f>(1-8*R23^2/9*Q37^2)</f>
        <v>0.99999372666638531</v>
      </c>
    </row>
    <row r="24" spans="1:88" x14ac:dyDescent="0.25">
      <c r="A24" s="8">
        <v>4</v>
      </c>
      <c r="B24" s="23">
        <v>1</v>
      </c>
      <c r="C24" s="16">
        <v>1526.3771548172399</v>
      </c>
      <c r="D24" s="16">
        <v>8.73</v>
      </c>
      <c r="E24" s="16">
        <v>1653.430213314</v>
      </c>
      <c r="F24" s="16">
        <v>8.44</v>
      </c>
      <c r="G24" s="16">
        <v>1521.5909094629101</v>
      </c>
      <c r="H24" s="16">
        <v>8.52</v>
      </c>
    </row>
    <row r="25" spans="1:88" x14ac:dyDescent="0.25">
      <c r="A25" s="8">
        <v>4</v>
      </c>
      <c r="B25" s="23">
        <v>10</v>
      </c>
      <c r="C25" s="16">
        <v>1867.9410278307901</v>
      </c>
      <c r="D25" s="16">
        <v>7.45</v>
      </c>
      <c r="E25" s="16">
        <v>2003.8413883461601</v>
      </c>
      <c r="F25" s="16">
        <v>7.41</v>
      </c>
      <c r="G25" s="16">
        <v>1847.05559355735</v>
      </c>
      <c r="H25" s="16">
        <v>7.27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526.19691350027995</v>
      </c>
      <c r="D26" s="16">
        <v>18.55</v>
      </c>
      <c r="E26" s="16">
        <v>570.28838585532003</v>
      </c>
      <c r="F26" s="16">
        <v>18.3</v>
      </c>
      <c r="G26" s="16">
        <v>492.83823375797999</v>
      </c>
      <c r="H26" s="16">
        <v>18.98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780.88318144584002</v>
      </c>
      <c r="D27" s="16">
        <v>15.2</v>
      </c>
      <c r="E27" s="16">
        <v>844.26467295621001</v>
      </c>
      <c r="F27" s="16">
        <v>14.86</v>
      </c>
      <c r="G27" s="16">
        <v>733.45584111657001</v>
      </c>
      <c r="H27" s="16">
        <v>15.62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1088.94333697908</v>
      </c>
      <c r="D28" s="16">
        <v>12.64</v>
      </c>
      <c r="E28" s="16">
        <v>1177.41635716518</v>
      </c>
      <c r="F28" s="16">
        <v>12.34</v>
      </c>
      <c r="G28" s="16">
        <v>1033.8289965352801</v>
      </c>
      <c r="H28" s="16">
        <v>13.02</v>
      </c>
      <c r="I28" s="3"/>
      <c r="J28" s="3"/>
      <c r="K28" s="3"/>
      <c r="L28" s="3"/>
      <c r="M28" s="32">
        <f t="shared" ref="M28:N36" si="7">A23</f>
        <v>4</v>
      </c>
      <c r="N28" s="32">
        <f t="shared" si="7"/>
        <v>0.1</v>
      </c>
      <c r="O28" s="33">
        <f>C40</f>
        <v>1251.7723708516401</v>
      </c>
      <c r="P28" s="33">
        <f>E40</f>
        <v>10.34</v>
      </c>
      <c r="Q28" s="34">
        <f>LOG10(O28)</f>
        <v>3.0975253615653404</v>
      </c>
      <c r="R28" s="34">
        <f t="shared" ref="R28:R33" si="8">$N$42+($P$23-$N$42)/(1+EXP($O$42+$P$42*(LOG10(N28)+$Q$42/19.147142*(1/(273.2+M28)-1/($M$23+273.2)))))</f>
        <v>3.0939110466742918</v>
      </c>
      <c r="S28" s="34">
        <f>Q28-R28</f>
        <v>3.6143148910485756E-3</v>
      </c>
      <c r="T28" s="35">
        <f>S28^2</f>
        <v>1.3063272131655477E-5</v>
      </c>
      <c r="U28" s="34">
        <f>$Q$42/19.147143*(1/(M28+273.15)-1/($M$23+273.15))</f>
        <v>2.3575763164754799</v>
      </c>
      <c r="V28" s="34">
        <f>LOG10(N28)+U28</f>
        <v>1.3575763164754799</v>
      </c>
      <c r="W28" s="34">
        <f>10^V28</f>
        <v>22.781185294718828</v>
      </c>
    </row>
    <row r="29" spans="1:88" s="4" customFormat="1" x14ac:dyDescent="0.25">
      <c r="A29" s="15">
        <v>40</v>
      </c>
      <c r="B29" s="23">
        <v>0.1</v>
      </c>
      <c r="C29" s="16">
        <v>115.63858851537299</v>
      </c>
      <c r="D29" s="16">
        <v>28.29</v>
      </c>
      <c r="E29" s="16">
        <v>131.128618934841</v>
      </c>
      <c r="F29" s="16">
        <v>27.82</v>
      </c>
      <c r="G29" s="16">
        <v>105.31190156906101</v>
      </c>
      <c r="H29" s="16">
        <v>29.61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1567.1327591980498</v>
      </c>
      <c r="P29" s="33">
        <f>E39</f>
        <v>8.5633333333333344</v>
      </c>
      <c r="Q29" s="34">
        <f t="shared" ref="Q29:Q33" si="9">LOG10(O29)</f>
        <v>3.1951057891583701</v>
      </c>
      <c r="R29" s="34">
        <f t="shared" si="8"/>
        <v>3.196895506195859</v>
      </c>
      <c r="S29" s="34">
        <f t="shared" ref="S29:S33" si="10">Q29-R29</f>
        <v>-1.7897170374889804E-3</v>
      </c>
      <c r="T29" s="35">
        <f t="shared" ref="T29:T33" si="11">S29^2</f>
        <v>3.2030870742783323E-6</v>
      </c>
      <c r="U29" s="34">
        <f t="shared" ref="U29:U33" si="12">$Q$42/19.147143*(1/(M29+273.15)-1/($M$23+273.15))</f>
        <v>2.3575763164754799</v>
      </c>
      <c r="V29" s="34">
        <f t="shared" ref="V29:V33" si="13">LOG10(N29)+U29</f>
        <v>2.3575763164754799</v>
      </c>
      <c r="W29" s="34">
        <f t="shared" ref="W29:W33" si="14">10^V29</f>
        <v>227.81185294718824</v>
      </c>
    </row>
    <row r="30" spans="1:88" s="4" customFormat="1" x14ac:dyDescent="0.25">
      <c r="A30" s="15">
        <v>40</v>
      </c>
      <c r="B30" s="23">
        <v>1</v>
      </c>
      <c r="C30" s="16">
        <v>218.71690891908</v>
      </c>
      <c r="D30" s="16">
        <v>25.59</v>
      </c>
      <c r="E30" s="16">
        <v>241.92294700068001</v>
      </c>
      <c r="F30" s="16">
        <v>25.26</v>
      </c>
      <c r="G30" s="16">
        <v>200.58719166783001</v>
      </c>
      <c r="H30" s="16">
        <v>26.7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1906.2793365781001</v>
      </c>
      <c r="P30" s="33">
        <f>E38</f>
        <v>7.376666666666666</v>
      </c>
      <c r="Q30" s="34">
        <f t="shared" si="9"/>
        <v>3.2801865402926711</v>
      </c>
      <c r="R30" s="34">
        <f t="shared" si="8"/>
        <v>3.2740010085576197</v>
      </c>
      <c r="S30" s="34">
        <f t="shared" si="10"/>
        <v>6.1855317350514305E-3</v>
      </c>
      <c r="T30" s="35">
        <f t="shared" si="11"/>
        <v>3.8260802845328361E-5</v>
      </c>
      <c r="U30" s="34">
        <f t="shared" si="12"/>
        <v>2.3575763164754799</v>
      </c>
      <c r="V30" s="34">
        <f t="shared" si="13"/>
        <v>3.3575763164754799</v>
      </c>
      <c r="W30" s="34">
        <f t="shared" si="14"/>
        <v>2278.118529471883</v>
      </c>
    </row>
    <row r="31" spans="1:88" s="4" customFormat="1" x14ac:dyDescent="0.25">
      <c r="A31" s="15">
        <v>40</v>
      </c>
      <c r="B31" s="23">
        <v>10</v>
      </c>
      <c r="C31" s="16">
        <v>388.70113786680002</v>
      </c>
      <c r="D31" s="16">
        <v>22.18</v>
      </c>
      <c r="E31" s="16">
        <v>424.81553463129001</v>
      </c>
      <c r="F31" s="16">
        <v>21.92</v>
      </c>
      <c r="G31" s="16">
        <v>363.60960919106998</v>
      </c>
      <c r="H31" s="16">
        <v>22.97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529.77451103786007</v>
      </c>
      <c r="P31" s="33">
        <f>E43</f>
        <v>18.61</v>
      </c>
      <c r="Q31" s="34">
        <f t="shared" si="9"/>
        <v>2.7240910593181389</v>
      </c>
      <c r="R31" s="34">
        <f t="shared" si="8"/>
        <v>2.7181873919546686</v>
      </c>
      <c r="S31" s="34">
        <f t="shared" si="10"/>
        <v>5.9036673634702552E-3</v>
      </c>
      <c r="T31" s="35">
        <f t="shared" si="11"/>
        <v>3.4853288338503837E-5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786.20123183954001</v>
      </c>
      <c r="P32" s="33">
        <f>E42</f>
        <v>15.226666666666667</v>
      </c>
      <c r="Q32" s="34">
        <f t="shared" si="9"/>
        <v>2.8955337199479416</v>
      </c>
      <c r="R32" s="34">
        <f t="shared" si="8"/>
        <v>2.9027331937009389</v>
      </c>
      <c r="S32" s="34">
        <f t="shared" si="10"/>
        <v>-7.1994737529972319E-3</v>
      </c>
      <c r="T32" s="35">
        <f t="shared" si="11"/>
        <v>5.183242232009605E-5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1100.0628968931801</v>
      </c>
      <c r="P33" s="33">
        <f>E41</f>
        <v>12.666666666666666</v>
      </c>
      <c r="Q33" s="34">
        <f t="shared" si="9"/>
        <v>3.041417516969791</v>
      </c>
      <c r="R33" s="34">
        <f t="shared" si="8"/>
        <v>3.0498091727323393</v>
      </c>
      <c r="S33" s="34">
        <f t="shared" si="10"/>
        <v>-8.3916557625483001E-3</v>
      </c>
      <c r="T33" s="35">
        <f t="shared" si="11"/>
        <v>7.0419886437110094E-5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0.1</v>
      </c>
      <c r="O34" s="33">
        <f>C46</f>
        <v>117.35970300642499</v>
      </c>
      <c r="P34" s="33">
        <f>E46</f>
        <v>28.573333333333334</v>
      </c>
      <c r="Q34" s="34">
        <f>LOG10(O34)</f>
        <v>2.06951900179949</v>
      </c>
      <c r="R34" s="34">
        <f>$N$42+($P$23-$N$42)/(1+EXP($O$42+$P$42*(LOG10(N34)+$Q$42/19.147142*(1/(273.2+M34)-1/($M$23+273.2)))))</f>
        <v>2.0708857638850757</v>
      </c>
      <c r="S34" s="34">
        <f>Q34-R34</f>
        <v>-1.3667620855857265E-3</v>
      </c>
      <c r="T34" s="35">
        <f>S34^2</f>
        <v>1.8680385985946449E-6</v>
      </c>
      <c r="U34" s="34">
        <f>$Q$42/19.147143*(1/(M34+273.15)-1/($M$23+273.15))</f>
        <v>-2.6081840815550872</v>
      </c>
      <c r="V34" s="34">
        <f>LOG10(N34)+U34</f>
        <v>-3.6081840815550872</v>
      </c>
      <c r="W34" s="34">
        <f>10^V34</f>
        <v>2.4649942947995319E-4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1</v>
      </c>
      <c r="O35" s="33">
        <f>C45</f>
        <v>220.40901586253003</v>
      </c>
      <c r="P35" s="33">
        <f>E45</f>
        <v>25.849999999999998</v>
      </c>
      <c r="Q35" s="34">
        <f>LOG10(O35)</f>
        <v>2.3432293554214101</v>
      </c>
      <c r="R35" s="34">
        <f>$N$42+($P$23-$N$42)/(1+EXP($O$42+$P$42*(LOG10(N35)+$Q$42/19.147142*(1/(273.2+M35)-1/($M$23+273.2)))))</f>
        <v>2.3431988479136652</v>
      </c>
      <c r="S35" s="34">
        <f>Q35-R35</f>
        <v>3.0507507744914619E-5</v>
      </c>
      <c r="T35" s="35">
        <f>S35^2</f>
        <v>9.3070802880602548E-10</v>
      </c>
      <c r="U35" s="34">
        <f>$Q$42/19.147143*(1/(M35+273.15)-1/($M$23+273.15))</f>
        <v>-2.6081840815550872</v>
      </c>
      <c r="V35" s="34">
        <f>LOG10(N35)+U35</f>
        <v>-2.6081840815550872</v>
      </c>
      <c r="W35" s="34">
        <f>10^V35</f>
        <v>2.4649942947995323E-3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10</v>
      </c>
      <c r="O36" s="33">
        <f>C44</f>
        <v>392.37542722971995</v>
      </c>
      <c r="P36" s="33">
        <f>E44</f>
        <v>22.356666666666666</v>
      </c>
      <c r="Q36" s="34">
        <f>LOG10(O36)</f>
        <v>2.5937018015807562</v>
      </c>
      <c r="R36" s="34">
        <f>$N$42+($P$23-$N$42)/(1+EXP($O$42+$P$42*(LOG10(N36)+$Q$42/19.147142*(1/(273.2+M36)-1/($M$23+273.2)))))</f>
        <v>2.5873275018728754</v>
      </c>
      <c r="S36" s="34">
        <f>Q36-R36</f>
        <v>6.3742997078808372E-3</v>
      </c>
      <c r="T36" s="35">
        <f>S36^2</f>
        <v>4.0631696765889727E-5</v>
      </c>
      <c r="U36" s="34">
        <f>$Q$42/19.147143*(1/(M36+273.15)-1/($M$23+273.15))</f>
        <v>-2.6081840815550872</v>
      </c>
      <c r="V36" s="34">
        <f>LOG10(N36)+U36</f>
        <v>-1.6081840815550872</v>
      </c>
      <c r="W36" s="34">
        <f>10^V36</f>
        <v>2.4649942947995329E-2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P37" s="32" t="s">
        <v>68</v>
      </c>
      <c r="Q37" s="35">
        <f>STDEV(Q28:Q36)</f>
        <v>0.40819735225960441</v>
      </c>
      <c r="S37" s="32" t="s">
        <v>69</v>
      </c>
      <c r="T37" s="35">
        <f>SUM(T28:T36)</f>
        <v>2.541334252194853E-4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1906.2793365781001</v>
      </c>
      <c r="D38" s="23">
        <f>(STDEV(C25,E25,G25)/C38)*100</f>
        <v>4.4659826692972677</v>
      </c>
      <c r="E38" s="23">
        <f>AVERAGE(D25,F25,H25)</f>
        <v>7.376666666666666</v>
      </c>
      <c r="F38" s="23">
        <f>STDEV(D25,F25,H25)</f>
        <v>9.4516312525052507E-2</v>
      </c>
      <c r="G38" s="3"/>
      <c r="H38" s="3"/>
      <c r="I38" s="26" t="s">
        <v>32</v>
      </c>
      <c r="J38" s="8">
        <v>20</v>
      </c>
      <c r="K38" s="3"/>
      <c r="L38" s="3"/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1567.1327591980498</v>
      </c>
      <c r="D39" s="23">
        <f>(STDEV(C24,E24,G24)/C39)*100</f>
        <v>4.771394925538063</v>
      </c>
      <c r="E39" s="23">
        <f>AVERAGE(D24,F24,H24)</f>
        <v>8.5633333333333344</v>
      </c>
      <c r="F39" s="23">
        <f>STDEV(D24,F24,H24)</f>
        <v>0.14977761292440697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1251.7723708516401</v>
      </c>
      <c r="D40" s="23">
        <f>(STDEV(C23,E23,G23)/C40)*100</f>
        <v>5.0408238214745822</v>
      </c>
      <c r="E40" s="23">
        <f>AVERAGE(D23,F23,H23)</f>
        <v>10.34</v>
      </c>
      <c r="F40" s="23">
        <f>STDEV(D23,F23,H23)</f>
        <v>0.2351595203260966</v>
      </c>
      <c r="G40" s="3"/>
      <c r="H40" s="3"/>
      <c r="I40" s="12" t="s">
        <v>94</v>
      </c>
      <c r="J40" s="59">
        <f>G115</f>
        <v>7043.7011310388689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1100.0628968931801</v>
      </c>
      <c r="D41" s="23">
        <f>(STDEV(C28,E28,G28)/C41)*100</f>
        <v>6.5847720645747492</v>
      </c>
      <c r="E41" s="23">
        <f>AVERAGE(D28,F28,H28)</f>
        <v>12.666666666666666</v>
      </c>
      <c r="F41" s="23">
        <f>STDEV(D28,F28,H28)</f>
        <v>0.34078341117685468</v>
      </c>
      <c r="G41" s="3"/>
      <c r="H41" s="3"/>
      <c r="I41" s="69" t="s">
        <v>35</v>
      </c>
      <c r="J41" s="62">
        <f>AVERAGE(E41:E42)</f>
        <v>13.946666666666665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786.20123183954001</v>
      </c>
      <c r="D42" s="23">
        <f>(STDEV(C27,E27,G27)/C42)*100</f>
        <v>7.0714094682026687</v>
      </c>
      <c r="E42" s="23">
        <f>AVERAGE(D27,F27,H27)</f>
        <v>15.226666666666667</v>
      </c>
      <c r="F42" s="23">
        <f>STDEV(D27,F27,H27)</f>
        <v>0.38070110760717946</v>
      </c>
      <c r="G42" s="3"/>
      <c r="H42" s="3"/>
      <c r="I42" s="32" t="s">
        <v>105</v>
      </c>
      <c r="J42" s="70">
        <f>(COS(RADIANS(J41)))^2</f>
        <v>0.94191003510614879</v>
      </c>
      <c r="K42" s="3"/>
      <c r="L42" s="3"/>
      <c r="M42" s="38" t="s">
        <v>78</v>
      </c>
      <c r="N42" s="39">
        <f>N43</f>
        <v>0.16538144306884034</v>
      </c>
      <c r="O42" s="39">
        <f>O43*-1</f>
        <v>-1.5642120859247028</v>
      </c>
      <c r="P42" s="39">
        <f>P43*-1</f>
        <v>-0.34908175657508028</v>
      </c>
      <c r="Q42" s="40">
        <f>Q43*200000</f>
        <v>229221.07221686697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529.77451103786007</v>
      </c>
      <c r="D43" s="23">
        <f>(STDEV(C26,E26,G26)/C43)*100</f>
        <v>7.333086155001288</v>
      </c>
      <c r="E43" s="23">
        <f>AVERAGE(D26,F26,H26)</f>
        <v>18.61</v>
      </c>
      <c r="F43" s="23">
        <f>STDEV(D26,F26,H26)</f>
        <v>0.34394767043839664</v>
      </c>
      <c r="G43" s="3"/>
      <c r="H43" s="3"/>
      <c r="I43" s="32" t="s">
        <v>106</v>
      </c>
      <c r="J43" s="70">
        <f>SIN(RADIANS(J41))</f>
        <v>0.24101859864718145</v>
      </c>
      <c r="K43" s="3"/>
      <c r="L43" s="3"/>
      <c r="M43" s="38" t="s">
        <v>80</v>
      </c>
      <c r="N43" s="39">
        <v>0.16538144306884034</v>
      </c>
      <c r="O43" s="39">
        <v>1.5642120859247028</v>
      </c>
      <c r="P43" s="39">
        <v>0.34908175657508028</v>
      </c>
      <c r="Q43" s="41">
        <v>1.1461053610843348</v>
      </c>
      <c r="R43" s="4" t="s">
        <v>81</v>
      </c>
    </row>
    <row r="44" spans="1:23" s="4" customFormat="1" ht="18" x14ac:dyDescent="0.35">
      <c r="A44" s="8">
        <f>A29</f>
        <v>40</v>
      </c>
      <c r="B44" s="23">
        <f>B31</f>
        <v>10</v>
      </c>
      <c r="C44" s="23">
        <f>AVERAGE(C31,E31,G31)</f>
        <v>392.37542722971995</v>
      </c>
      <c r="D44" s="23">
        <f>(STDEV(C31,E31,G31)/C44)*100</f>
        <v>7.8414564072480086</v>
      </c>
      <c r="E44" s="23">
        <f>AVERAGE(D31,F31,H31)</f>
        <v>22.356666666666666</v>
      </c>
      <c r="F44" s="23">
        <f>STDEV(D31,F31,H31)</f>
        <v>0.54683940360340888</v>
      </c>
      <c r="G44" s="3"/>
      <c r="H44" s="3"/>
      <c r="I44" s="12" t="s">
        <v>107</v>
      </c>
      <c r="J44" s="59">
        <f>(J40*J42)/J43</f>
        <v>27527.057317788564</v>
      </c>
      <c r="K44" s="3"/>
      <c r="L44" s="3"/>
    </row>
    <row r="45" spans="1:23" s="4" customFormat="1" x14ac:dyDescent="0.25">
      <c r="A45" s="8">
        <f>A30</f>
        <v>40</v>
      </c>
      <c r="B45" s="23">
        <f>B30</f>
        <v>1</v>
      </c>
      <c r="C45" s="23">
        <f>AVERAGE(C30,E30,G30)</f>
        <v>220.40901586253003</v>
      </c>
      <c r="D45" s="23">
        <f>(STDEV(C30,E30,G30)/C45)*100</f>
        <v>9.4005969353365657</v>
      </c>
      <c r="E45" s="23">
        <f>AVERAGE(D30,F30,H30)</f>
        <v>25.849999999999998</v>
      </c>
      <c r="F45" s="23">
        <f>STDEV(D30,F30,H30)</f>
        <v>0.75438716850169085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8">
        <f>A31</f>
        <v>40</v>
      </c>
      <c r="B46" s="23">
        <f>B29</f>
        <v>0.1</v>
      </c>
      <c r="C46" s="23">
        <f>AVERAGE(C29,E29,G29)</f>
        <v>117.35970300642499</v>
      </c>
      <c r="D46" s="23">
        <f>(STDEV(C29,E29,G29)/C46)*100</f>
        <v>11.072053795906845</v>
      </c>
      <c r="E46" s="23">
        <f>AVERAGE(D29,F29,H29)</f>
        <v>28.573333333333334</v>
      </c>
      <c r="F46" s="23">
        <f>STDEV(D29,F29,H29)</f>
        <v>0.9280265800791121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3.4336376413755678</v>
      </c>
      <c r="O46" s="44">
        <f t="shared" ref="O46" si="17">10^N46</f>
        <v>2714.17372158846</v>
      </c>
    </row>
    <row r="47" spans="1:23" s="4" customFormat="1" x14ac:dyDescent="0.25">
      <c r="A47" s="3"/>
      <c r="B47" s="45"/>
      <c r="C47" s="24"/>
      <c r="D47" s="24"/>
      <c r="E47" s="24"/>
      <c r="F47" s="24"/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3.4164481318327877</v>
      </c>
      <c r="O47" s="44">
        <f>10^N47</f>
        <v>2608.8441278871724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3.3923850568543874</v>
      </c>
      <c r="O48" s="44">
        <f>10^N48</f>
        <v>2468.226761824706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3.3588734417709638</v>
      </c>
      <c r="O49" s="44">
        <f t="shared" ref="O49:O62" si="18">10^N49</f>
        <v>2284.9328515708225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3.3125374503561553</v>
      </c>
      <c r="O50" s="44">
        <f t="shared" si="18"/>
        <v>2053.7021149599623</v>
      </c>
    </row>
    <row r="51" spans="1:15" s="4" customFormat="1" x14ac:dyDescent="0.25">
      <c r="A51" s="24">
        <f>O23</f>
        <v>2989.0403028449887</v>
      </c>
      <c r="B51" s="45">
        <f>10^N42</f>
        <v>1.4634619763028698</v>
      </c>
      <c r="C51" s="46">
        <f>O42</f>
        <v>-1.5642120859247028</v>
      </c>
      <c r="D51" s="46">
        <f>P42</f>
        <v>-0.34908175657508028</v>
      </c>
      <c r="E51" s="47">
        <f>Q42</f>
        <v>229221.07221686697</v>
      </c>
      <c r="F51" s="48">
        <f>S23</f>
        <v>0.9994916062902568</v>
      </c>
      <c r="G51" s="45">
        <f>R23/Q37</f>
        <v>1.5943552140962283E-2</v>
      </c>
      <c r="H51" s="3"/>
      <c r="I51" s="3"/>
      <c r="J51" s="3"/>
      <c r="K51" s="3"/>
      <c r="L51" s="3"/>
      <c r="M51" s="43">
        <v>1000</v>
      </c>
      <c r="N51" s="21">
        <f t="shared" si="16"/>
        <v>3.2491020148255925</v>
      </c>
      <c r="O51" s="44">
        <f t="shared" si="18"/>
        <v>1774.6062830766389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3.1634266213193145</v>
      </c>
      <c r="O52" s="44">
        <f t="shared" si="18"/>
        <v>1456.8895269232144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3.0498091727323393</v>
      </c>
      <c r="O53" s="44">
        <f t="shared" si="18"/>
        <v>1121.5255521542508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2.9027331937009389</v>
      </c>
      <c r="O54" s="44">
        <f t="shared" si="18"/>
        <v>799.34303237129711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2.7181873919546686</v>
      </c>
      <c r="O55" s="44">
        <f t="shared" si="18"/>
        <v>522.62164423693184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2.495471808114524</v>
      </c>
      <c r="O56" s="44">
        <f t="shared" si="18"/>
        <v>312.9477317405773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2.2389861667206459</v>
      </c>
      <c r="O57" s="44">
        <f t="shared" si="18"/>
        <v>173.37487729836812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1.9590624012036471</v>
      </c>
      <c r="O58" s="44">
        <f t="shared" si="18"/>
        <v>91.004402207797739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1.6709184462615922</v>
      </c>
      <c r="O59" s="44">
        <f t="shared" si="18"/>
        <v>46.872535456047935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1.3916330719481109</v>
      </c>
      <c r="O60" s="44">
        <f t="shared" si="18"/>
        <v>24.639567022822838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1.1362828824406126</v>
      </c>
      <c r="O61" s="18">
        <f t="shared" si="18"/>
        <v>13.68620000868947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0.91497900108345398</v>
      </c>
      <c r="O62" s="18">
        <f t="shared" si="18"/>
        <v>8.2220289400245985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N5-1 CA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4.6556316156693347</v>
      </c>
      <c r="E85" s="57">
        <f>10^(LOG(C85)+D85)</f>
        <v>1131283.9465886375</v>
      </c>
      <c r="F85" s="58">
        <f>10^($N$42+($P$23-$N$42)/(1+EXP($O$42+$P$42*(LOG10(C85)+$Q$42/19.147142*(1/(273.2+A85)-1/($M$23+273.2))))))</f>
        <v>2476.5143699243076</v>
      </c>
      <c r="G85" s="59">
        <f>F85*6.89476</f>
        <v>17074.972217179318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4.6556316156693347</v>
      </c>
      <c r="E86" s="57">
        <f t="shared" ref="E86:E115" si="20">10^(LOG(C86)+D86)</f>
        <v>452513.5786354554</v>
      </c>
      <c r="F86" s="58">
        <f t="shared" ref="F86:F115" si="21">10^($N$42+($P$23-$N$42)/(1+EXP($O$42+$P$42*(LOG10(C86)+$Q$42/19.147142*(1/(273.2+A86)-1/($M$23+273.2))))))</f>
        <v>2409.9655070909353</v>
      </c>
      <c r="G86" s="59">
        <f t="shared" ref="G86:G115" si="22">F86*6.89476</f>
        <v>16616.133779670297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4.6556316156693347</v>
      </c>
      <c r="E87" s="57">
        <f t="shared" si="20"/>
        <v>226256.7893177277</v>
      </c>
      <c r="F87" s="58">
        <f t="shared" si="21"/>
        <v>2354.9003063158261</v>
      </c>
      <c r="G87" s="59">
        <f t="shared" si="22"/>
        <v>16236.472435974105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4.6556316156693347</v>
      </c>
      <c r="E88" s="57">
        <f t="shared" si="20"/>
        <v>45251.357863545491</v>
      </c>
      <c r="F88" s="58">
        <f t="shared" si="21"/>
        <v>2210.485936263975</v>
      </c>
      <c r="G88" s="59">
        <f t="shared" si="22"/>
        <v>15240.770013915404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4.6556316156693347</v>
      </c>
      <c r="E89" s="57">
        <f t="shared" si="20"/>
        <v>22625.678931772745</v>
      </c>
      <c r="F89" s="58">
        <f t="shared" si="21"/>
        <v>2140.9340704880492</v>
      </c>
      <c r="G89" s="59">
        <f t="shared" si="22"/>
        <v>14761.226591838182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4.6556316156693347</v>
      </c>
      <c r="E90" s="57">
        <f t="shared" si="20"/>
        <v>4525.1357863545527</v>
      </c>
      <c r="F90" s="58">
        <f t="shared" si="21"/>
        <v>1962.297584798034</v>
      </c>
      <c r="G90" s="59">
        <f t="shared" si="22"/>
        <v>13529.570895762092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2.2884186810344653</v>
      </c>
      <c r="E91" s="57">
        <f t="shared" si="20"/>
        <v>4856.8947208163636</v>
      </c>
      <c r="F91" s="58">
        <f t="shared" si="21"/>
        <v>1970.8815560397425</v>
      </c>
      <c r="G91" s="59">
        <f t="shared" si="22"/>
        <v>13588.755317320574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2.2884186810344653</v>
      </c>
      <c r="E92" s="57">
        <f t="shared" si="20"/>
        <v>1942.7578883265455</v>
      </c>
      <c r="F92" s="58">
        <f t="shared" si="21"/>
        <v>1859.45151982024</v>
      </c>
      <c r="G92" s="59">
        <f t="shared" si="22"/>
        <v>12820.471960795798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2.2884186810344653</v>
      </c>
      <c r="E93" s="57">
        <f t="shared" si="20"/>
        <v>971.37894416327265</v>
      </c>
      <c r="F93" s="58">
        <f t="shared" si="21"/>
        <v>1770.5666496546098</v>
      </c>
      <c r="G93" s="59">
        <f t="shared" si="22"/>
        <v>12207.632113372618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2.2884186810344653</v>
      </c>
      <c r="E94" s="57">
        <f t="shared" si="20"/>
        <v>194.27578883265451</v>
      </c>
      <c r="F94" s="58">
        <f t="shared" si="21"/>
        <v>1551.2259508544473</v>
      </c>
      <c r="G94" s="59">
        <f t="shared" si="22"/>
        <v>10695.33063691321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2.2884186810344653</v>
      </c>
      <c r="E95" s="57">
        <f t="shared" si="20"/>
        <v>97.137894416327242</v>
      </c>
      <c r="F95" s="58">
        <f t="shared" si="21"/>
        <v>1452.4475502179214</v>
      </c>
      <c r="G95" s="59">
        <f t="shared" si="22"/>
        <v>10014.277271340516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2.2884186810344653</v>
      </c>
      <c r="E96" s="57">
        <f t="shared" si="20"/>
        <v>19.427578883265454</v>
      </c>
      <c r="F96" s="58">
        <f t="shared" si="21"/>
        <v>1218.1118584270203</v>
      </c>
      <c r="G96" s="59">
        <f t="shared" si="22"/>
        <v>8398.588917008281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-0.15420034608509181</v>
      </c>
      <c r="E97" s="57">
        <f t="shared" si="20"/>
        <v>17.528294549033667</v>
      </c>
      <c r="F97" s="58">
        <f t="shared" si="21"/>
        <v>1203.3578879407819</v>
      </c>
      <c r="G97" s="59">
        <f t="shared" si="22"/>
        <v>8296.863831458586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-0.15420034608509181</v>
      </c>
      <c r="E98" s="57">
        <f t="shared" si="20"/>
        <v>7.0113178196134642</v>
      </c>
      <c r="F98" s="58">
        <f t="shared" si="21"/>
        <v>1070.1512384205471</v>
      </c>
      <c r="G98" s="59">
        <f t="shared" si="22"/>
        <v>7378.4359526124508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-0.15420034608509181</v>
      </c>
      <c r="E99" s="57">
        <f t="shared" si="20"/>
        <v>3.5056589098067326</v>
      </c>
      <c r="F99" s="58">
        <f t="shared" si="21"/>
        <v>971.19691509484289</v>
      </c>
      <c r="G99" s="59">
        <f t="shared" si="22"/>
        <v>6696.1696423193189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-0.15420034608509181</v>
      </c>
      <c r="E100" s="57">
        <f t="shared" si="20"/>
        <v>0.70113178196134629</v>
      </c>
      <c r="F100" s="58">
        <f t="shared" si="21"/>
        <v>752.99881250688475</v>
      </c>
      <c r="G100" s="59">
        <f t="shared" si="22"/>
        <v>5191.7460925199684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-0.15420034608509181</v>
      </c>
      <c r="E101" s="57">
        <f t="shared" si="20"/>
        <v>0.35056589098067309</v>
      </c>
      <c r="F101" s="58">
        <f t="shared" si="21"/>
        <v>666.06943628561419</v>
      </c>
      <c r="G101" s="59">
        <f t="shared" si="22"/>
        <v>4592.3889065246012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-0.15420034608509181</v>
      </c>
      <c r="E102" s="57">
        <f t="shared" si="20"/>
        <v>7.0113178196134607E-2</v>
      </c>
      <c r="F102" s="58">
        <f t="shared" si="21"/>
        <v>485.6248762135304</v>
      </c>
      <c r="G102" s="59">
        <f t="shared" si="22"/>
        <v>3348.2669715220009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-2.3349558793115186</v>
      </c>
      <c r="E103" s="57">
        <f t="shared" si="20"/>
        <v>0.11560699945787639</v>
      </c>
      <c r="F103" s="58">
        <f t="shared" si="21"/>
        <v>538.40403922607959</v>
      </c>
      <c r="G103" s="59">
        <f t="shared" si="22"/>
        <v>3712.1666334944043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-2.3349558793115186</v>
      </c>
      <c r="E104" s="57">
        <f t="shared" si="20"/>
        <v>4.6242799783150539E-2</v>
      </c>
      <c r="F104" s="58">
        <f t="shared" si="21"/>
        <v>444.53710801661117</v>
      </c>
      <c r="G104" s="59">
        <f t="shared" si="22"/>
        <v>3064.9766708686097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-2.3349558793115186</v>
      </c>
      <c r="E105" s="57">
        <f t="shared" si="20"/>
        <v>2.3121399891575262E-2</v>
      </c>
      <c r="F105" s="58">
        <f t="shared" si="21"/>
        <v>381.053871486253</v>
      </c>
      <c r="G105" s="59">
        <f t="shared" si="22"/>
        <v>2627.2749909685576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-2.3349558793115186</v>
      </c>
      <c r="E106" s="57">
        <f t="shared" si="20"/>
        <v>4.6242799783150542E-3</v>
      </c>
      <c r="F106" s="58">
        <f t="shared" si="21"/>
        <v>258.89653852210824</v>
      </c>
      <c r="G106" s="59">
        <f t="shared" si="22"/>
        <v>1785.029497940691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-2.3349558793115186</v>
      </c>
      <c r="E107" s="57">
        <f t="shared" si="20"/>
        <v>2.3121399891575249E-3</v>
      </c>
      <c r="F107" s="58">
        <f t="shared" si="21"/>
        <v>216.73792484970699</v>
      </c>
      <c r="G107" s="59">
        <f t="shared" si="22"/>
        <v>1494.3559747367656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-2.3349558793115186</v>
      </c>
      <c r="E108" s="57">
        <f t="shared" si="20"/>
        <v>4.6242799783150531E-4</v>
      </c>
      <c r="F108" s="58">
        <f t="shared" si="21"/>
        <v>140.40225668136551</v>
      </c>
      <c r="G108" s="59">
        <f t="shared" si="22"/>
        <v>968.03986327641167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-4.2938155521523349</v>
      </c>
      <c r="E109" s="57">
        <f t="shared" si="20"/>
        <v>1.2709382680010308E-3</v>
      </c>
      <c r="F109" s="58">
        <f t="shared" si="21"/>
        <v>185.08951623573358</v>
      </c>
      <c r="G109" s="59">
        <f t="shared" si="22"/>
        <v>1276.1477929614864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-4.2938155521523349</v>
      </c>
      <c r="E110" s="57">
        <f t="shared" si="20"/>
        <v>5.0837530720041239E-4</v>
      </c>
      <c r="F110" s="58">
        <f t="shared" si="21"/>
        <v>144.19444991286386</v>
      </c>
      <c r="G110" s="59">
        <f t="shared" si="22"/>
        <v>994.18612548121723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-4.2938155521523349</v>
      </c>
      <c r="E111" s="57">
        <f t="shared" si="20"/>
        <v>2.5418765360020641E-4</v>
      </c>
      <c r="F111" s="58">
        <f t="shared" si="21"/>
        <v>118.79496577945937</v>
      </c>
      <c r="G111" s="59">
        <f t="shared" si="22"/>
        <v>819.06277825758525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-4.2938155521523349</v>
      </c>
      <c r="E112" s="57">
        <f t="shared" si="20"/>
        <v>5.0837530720041225E-5</v>
      </c>
      <c r="F112" s="58">
        <f t="shared" si="21"/>
        <v>74.970800006878775</v>
      </c>
      <c r="G112" s="59">
        <f t="shared" si="22"/>
        <v>516.90567305542754</v>
      </c>
    </row>
    <row r="113" spans="1:8" x14ac:dyDescent="0.25">
      <c r="A113" s="23">
        <v>54.444444444444443</v>
      </c>
      <c r="B113" s="8">
        <v>130</v>
      </c>
      <c r="C113" s="8">
        <v>0.5</v>
      </c>
      <c r="D113" s="56">
        <f t="shared" si="19"/>
        <v>-4.2938155521523349</v>
      </c>
      <c r="E113" s="57">
        <f t="shared" si="20"/>
        <v>2.5418765360020609E-5</v>
      </c>
      <c r="F113" s="58">
        <f t="shared" si="21"/>
        <v>61.369832833988184</v>
      </c>
      <c r="G113" s="59">
        <f t="shared" si="22"/>
        <v>423.13026863046838</v>
      </c>
    </row>
    <row r="114" spans="1:8" x14ac:dyDescent="0.25">
      <c r="A114" s="23">
        <v>54.444444444444443</v>
      </c>
      <c r="B114" s="8">
        <v>130</v>
      </c>
      <c r="C114" s="8">
        <v>0.1</v>
      </c>
      <c r="D114" s="56">
        <f t="shared" si="19"/>
        <v>-4.2938155521523349</v>
      </c>
      <c r="E114" s="57">
        <f t="shared" si="20"/>
        <v>5.0837530720041254E-6</v>
      </c>
      <c r="F114" s="58">
        <f t="shared" si="21"/>
        <v>38.689103712666508</v>
      </c>
      <c r="G114" s="59">
        <f t="shared" si="22"/>
        <v>266.7520847139445</v>
      </c>
    </row>
    <row r="115" spans="1:8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1021.602076220038</v>
      </c>
      <c r="G115" s="67">
        <f t="shared" si="22"/>
        <v>7043.7011310388689</v>
      </c>
      <c r="H115" s="68" t="s">
        <v>103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2AC3-A462-4DC1-A9C3-658C8315F776}">
  <dimension ref="A1:CJ115"/>
  <sheetViews>
    <sheetView view="pageBreakPreview" topLeftCell="A29" zoomScale="80" zoomScaleNormal="70" zoomScaleSheetLayoutView="80" workbookViewId="0">
      <selection activeCell="H17" sqref="H17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9.42578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124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2.6560000000000001</v>
      </c>
      <c r="F14" s="8" t="s">
        <v>14</v>
      </c>
      <c r="G14" s="60" t="s">
        <v>110</v>
      </c>
      <c r="H14" s="16">
        <v>6.5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5.32</v>
      </c>
      <c r="F15" s="8" t="s">
        <v>24</v>
      </c>
      <c r="G15" s="60" t="s">
        <v>125</v>
      </c>
      <c r="H15" s="16">
        <v>6.4</v>
      </c>
      <c r="M15" s="4" t="str">
        <f t="shared" ref="M15:N17" si="0">G14</f>
        <v>1B</v>
      </c>
      <c r="N15" s="18">
        <f t="shared" si="0"/>
        <v>6.5</v>
      </c>
      <c r="O15" s="4">
        <f>$B$14</f>
        <v>2.6560000000000001</v>
      </c>
      <c r="P15" s="20">
        <f>$B$15</f>
        <v>5.32</v>
      </c>
      <c r="Q15" s="21">
        <f>$B$16</f>
        <v>2.492</v>
      </c>
      <c r="R15" s="21">
        <f t="shared" ref="R15:R17" si="1">((Q15*(N15-100))/-100)</f>
        <v>2.3300200000000002</v>
      </c>
      <c r="S15" s="18">
        <f t="shared" ref="S15:S17" si="2">100-((R15*(100-P15))/O15)</f>
        <v>16.940401506024088</v>
      </c>
      <c r="T15" s="18">
        <f t="shared" ref="T15:T17" si="3">100*((S15-N15)/S15)</f>
        <v>61.630189239088764</v>
      </c>
      <c r="U15" s="18"/>
      <c r="W15" s="18"/>
    </row>
    <row r="16" spans="1:23" x14ac:dyDescent="0.25">
      <c r="A16" s="8" t="s">
        <v>25</v>
      </c>
      <c r="B16" s="22">
        <v>2.492</v>
      </c>
      <c r="F16" s="8" t="s">
        <v>26</v>
      </c>
      <c r="G16" s="60" t="s">
        <v>126</v>
      </c>
      <c r="H16" s="16">
        <v>6.7</v>
      </c>
      <c r="M16" s="4" t="str">
        <f t="shared" si="0"/>
        <v>7C</v>
      </c>
      <c r="N16" s="18">
        <f t="shared" si="0"/>
        <v>6.4</v>
      </c>
      <c r="O16" s="4">
        <f t="shared" ref="O16:O17" si="4">$B$14</f>
        <v>2.6560000000000001</v>
      </c>
      <c r="P16" s="20">
        <f t="shared" ref="P16:P17" si="5">$B$15</f>
        <v>5.32</v>
      </c>
      <c r="Q16" s="21">
        <f t="shared" ref="Q16:Q17" si="6">$B$16</f>
        <v>2.492</v>
      </c>
      <c r="R16" s="21">
        <f t="shared" si="1"/>
        <v>2.3325119999999999</v>
      </c>
      <c r="S16" s="18">
        <f t="shared" si="2"/>
        <v>16.851567710843383</v>
      </c>
      <c r="T16" s="18">
        <f t="shared" si="3"/>
        <v>62.021337659392792</v>
      </c>
      <c r="U16" s="18"/>
    </row>
    <row r="17" spans="1:88" x14ac:dyDescent="0.25">
      <c r="A17" s="8" t="s">
        <v>21</v>
      </c>
      <c r="B17" s="23">
        <f>AVERAGE(S15:S17)</f>
        <v>16.970012771084342</v>
      </c>
      <c r="M17" s="4" t="str">
        <f t="shared" si="0"/>
        <v>7D</v>
      </c>
      <c r="N17" s="18">
        <f t="shared" si="0"/>
        <v>6.7</v>
      </c>
      <c r="O17" s="4">
        <f t="shared" si="4"/>
        <v>2.6560000000000001</v>
      </c>
      <c r="P17" s="20">
        <f t="shared" si="5"/>
        <v>5.32</v>
      </c>
      <c r="Q17" s="21">
        <f t="shared" si="6"/>
        <v>2.492</v>
      </c>
      <c r="R17" s="21">
        <f t="shared" si="1"/>
        <v>2.3250359999999999</v>
      </c>
      <c r="S17" s="18">
        <f t="shared" si="2"/>
        <v>17.118069096385554</v>
      </c>
      <c r="T17" s="18">
        <f t="shared" si="3"/>
        <v>60.860071528659212</v>
      </c>
    </row>
    <row r="18" spans="1:88" x14ac:dyDescent="0.25">
      <c r="A18" s="8" t="s">
        <v>22</v>
      </c>
      <c r="B18" s="23">
        <f>AVERAGE(T15:T17)</f>
        <v>61.503866142380254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1847.05559355735</v>
      </c>
      <c r="D23" s="16">
        <v>8.48</v>
      </c>
      <c r="E23" s="16">
        <v>1933.20800993529</v>
      </c>
      <c r="F23" s="16">
        <v>7.63</v>
      </c>
      <c r="G23" s="16">
        <v>1912.7576888758799</v>
      </c>
      <c r="H23" s="16">
        <v>7.47</v>
      </c>
      <c r="M23" s="4">
        <v>20</v>
      </c>
      <c r="N23" s="29">
        <f>(20+(B18*3*145000)/(B17))^0.58/(650+((B18*3*145000)/B17)^0.58)</f>
        <v>0.85816312201148104</v>
      </c>
      <c r="O23" s="18">
        <f>(N23*(4200000*(1-B17/100)+3*145000*(B17*B18)/10000)+(1-N23)/((1-B17/100)/4200000+B17/(3*B18*145000)))/1000</f>
        <v>3202.0799243071006</v>
      </c>
      <c r="P23" s="29">
        <f>LOG10(O23)</f>
        <v>3.5054321677620282</v>
      </c>
      <c r="R23" s="30">
        <f>(1/6*T37)^0.5</f>
        <v>1.1895597184965998E-2</v>
      </c>
      <c r="S23" s="30">
        <f>1-R23^2/Q37^2*12/6</f>
        <v>0.9976224524438887</v>
      </c>
      <c r="T23" s="30">
        <f>(1-8*R23^2/9*Q37^2)</f>
        <v>0.9999850275366563</v>
      </c>
    </row>
    <row r="24" spans="1:88" x14ac:dyDescent="0.25">
      <c r="A24" s="8">
        <v>4</v>
      </c>
      <c r="B24" s="23">
        <v>1</v>
      </c>
      <c r="C24" s="16">
        <v>2208.9247498923</v>
      </c>
      <c r="D24" s="16">
        <v>6.87</v>
      </c>
      <c r="E24" s="16">
        <v>2286.81001520367</v>
      </c>
      <c r="F24" s="16">
        <v>6.5</v>
      </c>
      <c r="G24" s="16">
        <v>2259.5429204577899</v>
      </c>
      <c r="H24" s="16">
        <v>6.33</v>
      </c>
    </row>
    <row r="25" spans="1:88" x14ac:dyDescent="0.25">
      <c r="A25" s="8">
        <v>4</v>
      </c>
      <c r="B25" s="23">
        <v>10</v>
      </c>
      <c r="C25" s="16">
        <v>2586.60301967034</v>
      </c>
      <c r="D25" s="16">
        <v>6.06</v>
      </c>
      <c r="E25" s="16">
        <v>2652.16007725086</v>
      </c>
      <c r="F25" s="16">
        <v>5.76</v>
      </c>
      <c r="G25" s="16">
        <v>2626.19832214707</v>
      </c>
      <c r="H25" s="16">
        <v>5.53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882.84471126687004</v>
      </c>
      <c r="D26" s="16">
        <v>15.78</v>
      </c>
      <c r="E26" s="16">
        <v>964.93607098052996</v>
      </c>
      <c r="F26" s="16">
        <v>14.05</v>
      </c>
      <c r="G26" s="16">
        <v>964.79103324252003</v>
      </c>
      <c r="H26" s="16">
        <v>13.92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1229.4849051107701</v>
      </c>
      <c r="D27" s="16">
        <v>12.58</v>
      </c>
      <c r="E27" s="16">
        <v>1299.10301935557</v>
      </c>
      <c r="F27" s="16">
        <v>11.45</v>
      </c>
      <c r="G27" s="16">
        <v>1301.13354768771</v>
      </c>
      <c r="H27" s="16">
        <v>11.29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1619.05626940563</v>
      </c>
      <c r="D28" s="16">
        <v>10.3</v>
      </c>
      <c r="E28" s="16">
        <v>1668.2240625910199</v>
      </c>
      <c r="F28" s="16">
        <v>9.61</v>
      </c>
      <c r="G28" s="16">
        <v>1675.76602496754</v>
      </c>
      <c r="H28" s="16">
        <v>9.39</v>
      </c>
      <c r="I28" s="3"/>
      <c r="J28" s="3"/>
      <c r="K28" s="3"/>
      <c r="L28" s="3"/>
      <c r="M28" s="32">
        <f t="shared" ref="M28:N36" si="7">A23</f>
        <v>4</v>
      </c>
      <c r="N28" s="32">
        <f t="shared" si="7"/>
        <v>0.1</v>
      </c>
      <c r="O28" s="33">
        <f>C40</f>
        <v>1897.6737641228399</v>
      </c>
      <c r="P28" s="33">
        <f>E40</f>
        <v>7.8599999999999994</v>
      </c>
      <c r="Q28" s="34">
        <f>LOG10(O28)</f>
        <v>3.2782215533920542</v>
      </c>
      <c r="R28" s="34">
        <f t="shared" ref="R28:R33" si="8">$N$42+($P$23-$N$42)/(1+EXP($O$42+$P$42*(LOG10(N28)+$Q$42/19.147142*(1/(273.2+M28)-1/($M$23+273.2)))))</f>
        <v>3.2762614581262408</v>
      </c>
      <c r="S28" s="34">
        <f>Q28-R28</f>
        <v>1.9600952658134219E-3</v>
      </c>
      <c r="T28" s="35">
        <f>S28^2</f>
        <v>3.8419734510641892E-6</v>
      </c>
      <c r="U28" s="34">
        <f>$Q$42/19.147143*(1/(M28+273.15)-1/($M$23+273.15))</f>
        <v>2.4612101456710005</v>
      </c>
      <c r="V28" s="34">
        <f>LOG10(N28)+U28</f>
        <v>1.4612101456710005</v>
      </c>
      <c r="W28" s="34">
        <f>10^V28</f>
        <v>28.920789580660468</v>
      </c>
    </row>
    <row r="29" spans="1:88" s="4" customFormat="1" x14ac:dyDescent="0.25">
      <c r="A29" s="15">
        <v>40</v>
      </c>
      <c r="B29" s="23">
        <v>0.1</v>
      </c>
      <c r="C29" s="16">
        <v>231.62526760196999</v>
      </c>
      <c r="D29" s="16">
        <v>24.89</v>
      </c>
      <c r="E29" s="16">
        <v>255.55649437362001</v>
      </c>
      <c r="F29" s="16">
        <v>25.91</v>
      </c>
      <c r="G29" s="16">
        <v>264.11372091621001</v>
      </c>
      <c r="H29" s="16">
        <v>24.58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2251.7592285179198</v>
      </c>
      <c r="P29" s="33">
        <f>E39</f>
        <v>6.5666666666666673</v>
      </c>
      <c r="Q29" s="34">
        <f t="shared" ref="Q29:Q33" si="9">LOG10(O29)</f>
        <v>3.3525219513141833</v>
      </c>
      <c r="R29" s="34">
        <f t="shared" si="8"/>
        <v>3.3488215357403597</v>
      </c>
      <c r="S29" s="34">
        <f t="shared" ref="S29:S33" si="10">Q29-R29</f>
        <v>3.7004155738236122E-3</v>
      </c>
      <c r="T29" s="35">
        <f t="shared" ref="T29:T33" si="11">S29^2</f>
        <v>1.3693075418996332E-5</v>
      </c>
      <c r="U29" s="34">
        <f t="shared" ref="U29:U33" si="12">$Q$42/19.147143*(1/(M29+273.15)-1/($M$23+273.15))</f>
        <v>2.4612101456710005</v>
      </c>
      <c r="V29" s="34">
        <f t="shared" ref="V29:V33" si="13">LOG10(N29)+U29</f>
        <v>2.4612101456710005</v>
      </c>
      <c r="W29" s="34">
        <f t="shared" ref="W29:W33" si="14">10^V29</f>
        <v>289.20789580660477</v>
      </c>
    </row>
    <row r="30" spans="1:88" s="4" customFormat="1" x14ac:dyDescent="0.25">
      <c r="A30" s="15">
        <v>40</v>
      </c>
      <c r="B30" s="23">
        <v>1</v>
      </c>
      <c r="C30" s="16">
        <v>405.52551547595999</v>
      </c>
      <c r="D30" s="16">
        <v>22.31</v>
      </c>
      <c r="E30" s="16">
        <v>440.91472355040003</v>
      </c>
      <c r="F30" s="16">
        <v>22.2</v>
      </c>
      <c r="G30" s="16">
        <v>447.00630854681998</v>
      </c>
      <c r="H30" s="16">
        <v>21.49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2621.6538063560902</v>
      </c>
      <c r="P30" s="33">
        <f>E38</f>
        <v>5.7833333333333341</v>
      </c>
      <c r="Q30" s="34">
        <f t="shared" si="9"/>
        <v>3.418575341848435</v>
      </c>
      <c r="R30" s="34">
        <f t="shared" si="8"/>
        <v>3.399649672806742</v>
      </c>
      <c r="S30" s="34">
        <f t="shared" si="10"/>
        <v>1.8925669041693016E-2</v>
      </c>
      <c r="T30" s="35">
        <f t="shared" si="11"/>
        <v>3.5818094867569745E-4</v>
      </c>
      <c r="U30" s="34">
        <f t="shared" si="12"/>
        <v>2.4612101456710005</v>
      </c>
      <c r="V30" s="34">
        <f t="shared" si="13"/>
        <v>3.4612101456710005</v>
      </c>
      <c r="W30" s="34">
        <f t="shared" si="14"/>
        <v>2892.078958066048</v>
      </c>
    </row>
    <row r="31" spans="1:88" s="4" customFormat="1" x14ac:dyDescent="0.25">
      <c r="A31" s="15">
        <v>40</v>
      </c>
      <c r="B31" s="23">
        <v>10</v>
      </c>
      <c r="C31" s="16">
        <v>659.34155699346002</v>
      </c>
      <c r="D31" s="16">
        <v>19.02</v>
      </c>
      <c r="E31" s="16">
        <v>708.07423696481999</v>
      </c>
      <c r="F31" s="16">
        <v>18.09</v>
      </c>
      <c r="G31" s="16">
        <v>705.02844446661004</v>
      </c>
      <c r="H31" s="16">
        <v>18.170000000000002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937.52393849663997</v>
      </c>
      <c r="P31" s="33">
        <f>E43</f>
        <v>14.583333333333334</v>
      </c>
      <c r="Q31" s="34">
        <f t="shared" si="9"/>
        <v>2.9719823657056397</v>
      </c>
      <c r="R31" s="34">
        <f t="shared" si="8"/>
        <v>2.9669934671090168</v>
      </c>
      <c r="S31" s="34">
        <f t="shared" si="10"/>
        <v>4.9888985966228816E-3</v>
      </c>
      <c r="T31" s="35">
        <f t="shared" si="11"/>
        <v>2.4889109207385758E-5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1276.5738240513501</v>
      </c>
      <c r="P32" s="33">
        <f>E42</f>
        <v>11.773333333333333</v>
      </c>
      <c r="Q32" s="34">
        <f t="shared" si="9"/>
        <v>3.1060459350439613</v>
      </c>
      <c r="R32" s="34">
        <f t="shared" si="8"/>
        <v>3.118089451079129</v>
      </c>
      <c r="S32" s="34">
        <f t="shared" si="10"/>
        <v>-1.2043516035167734E-2</v>
      </c>
      <c r="T32" s="35">
        <f t="shared" si="11"/>
        <v>1.4504627848934234E-4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1654.3487856547299</v>
      </c>
      <c r="P33" s="33">
        <f>E41</f>
        <v>9.7666666666666675</v>
      </c>
      <c r="Q33" s="34">
        <f t="shared" si="9"/>
        <v>3.2186270769918099</v>
      </c>
      <c r="R33" s="34">
        <f t="shared" si="8"/>
        <v>3.2337769556273335</v>
      </c>
      <c r="S33" s="34">
        <f t="shared" si="10"/>
        <v>-1.5149878635523528E-2</v>
      </c>
      <c r="T33" s="35">
        <f t="shared" si="11"/>
        <v>2.2951882267109225E-4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0.1</v>
      </c>
      <c r="O34" s="33">
        <f>C46</f>
        <v>250.4318276306</v>
      </c>
      <c r="P34" s="33">
        <f>E46</f>
        <v>25.126666666666665</v>
      </c>
      <c r="Q34" s="34">
        <f>LOG10(O34)</f>
        <v>2.3986895229646805</v>
      </c>
      <c r="R34" s="34">
        <f>$N$42+($P$23-$N$42)/(1+EXP($O$42+$P$42*(LOG10(N34)+$Q$42/19.147142*(1/(273.2+M34)-1/($M$23+273.2)))))</f>
        <v>2.4031796592392185</v>
      </c>
      <c r="S34" s="34">
        <f>Q34-R34</f>
        <v>-4.4901362745379814E-3</v>
      </c>
      <c r="T34" s="35">
        <f>S34^2</f>
        <v>2.0161323763921823E-5</v>
      </c>
      <c r="U34" s="34">
        <f>$Q$42/19.147143*(1/(M34+273.15)-1/($M$23+273.15))</f>
        <v>-2.7228340726198272</v>
      </c>
      <c r="V34" s="34">
        <f>LOG10(N34)+U34</f>
        <v>-3.7228340726198272</v>
      </c>
      <c r="W34" s="34">
        <f>10^V34</f>
        <v>1.8930667491977966E-4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1</v>
      </c>
      <c r="O35" s="33">
        <f>C45</f>
        <v>431.14884919105998</v>
      </c>
      <c r="P35" s="33">
        <f>E45</f>
        <v>22</v>
      </c>
      <c r="Q35" s="34">
        <f>LOG10(O35)</f>
        <v>2.6346272312330363</v>
      </c>
      <c r="R35" s="34">
        <f>$N$42+($P$23-$N$42)/(1+EXP($O$42+$P$42*(LOG10(N35)+$Q$42/19.147142*(1/(273.2+M35)-1/($M$23+273.2)))))</f>
        <v>2.6282460910449901</v>
      </c>
      <c r="S35" s="34">
        <f>Q35-R35</f>
        <v>6.3811401880462526E-3</v>
      </c>
      <c r="T35" s="35">
        <f>S35^2</f>
        <v>4.0718950099498966E-5</v>
      </c>
      <c r="U35" s="34">
        <f>$Q$42/19.147143*(1/(M35+273.15)-1/($M$23+273.15))</f>
        <v>-2.7228340726198272</v>
      </c>
      <c r="V35" s="34">
        <f>LOG10(N35)+U35</f>
        <v>-2.7228340726198272</v>
      </c>
      <c r="W35" s="34">
        <f>10^V35</f>
        <v>1.8930667491977987E-3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10</v>
      </c>
      <c r="O36" s="33">
        <f>C44</f>
        <v>690.81474614163005</v>
      </c>
      <c r="P36" s="33">
        <f>E44</f>
        <v>18.426666666666666</v>
      </c>
      <c r="Q36" s="34">
        <f>LOG10(O36)</f>
        <v>2.8393615994507009</v>
      </c>
      <c r="R36" s="34">
        <f>$N$42+($P$23-$N$42)/(1+EXP($O$42+$P$42*(LOG10(N36)+$Q$42/19.147142*(1/(273.2+M36)-1/($M$23+273.2)))))</f>
        <v>2.8357586961013412</v>
      </c>
      <c r="S36" s="34">
        <f>Q36-R36</f>
        <v>3.602903349359643E-3</v>
      </c>
      <c r="T36" s="35">
        <f>S36^2</f>
        <v>1.2980912544826934E-5</v>
      </c>
      <c r="U36" s="34">
        <f>$Q$42/19.147143*(1/(M36+273.15)-1/($M$23+273.15))</f>
        <v>-2.7228340726198272</v>
      </c>
      <c r="V36" s="34">
        <f>LOG10(N36)+U36</f>
        <v>-1.7228340726198272</v>
      </c>
      <c r="W36" s="34">
        <f>10^V36</f>
        <v>1.8930667491977991E-2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P37" s="32" t="s">
        <v>68</v>
      </c>
      <c r="Q37" s="35">
        <f>STDEV(Q28:Q36)</f>
        <v>0.3450139386388042</v>
      </c>
      <c r="S37" s="32" t="s">
        <v>69</v>
      </c>
      <c r="T37" s="35">
        <f>SUM(T28:T36)</f>
        <v>8.4903139432182593E-4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2621.6538063560902</v>
      </c>
      <c r="D38" s="23">
        <f>(STDEV(C25,E25,G25)/C38)*100</f>
        <v>1.2592798423296339</v>
      </c>
      <c r="E38" s="23">
        <f>AVERAGE(D25,F25,H25)</f>
        <v>5.7833333333333341</v>
      </c>
      <c r="F38" s="23">
        <f>STDEV(D25,F25,H25)</f>
        <v>0.26576932353703497</v>
      </c>
      <c r="G38" s="3"/>
      <c r="H38" s="3"/>
      <c r="I38" s="26" t="s">
        <v>32</v>
      </c>
      <c r="J38" s="8">
        <v>20</v>
      </c>
      <c r="K38" s="3"/>
      <c r="L38" s="3"/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2251.7592285179198</v>
      </c>
      <c r="D39" s="23">
        <f>(STDEV(C24,E24,G24)/C39)*100</f>
        <v>1.7551495192431128</v>
      </c>
      <c r="E39" s="23">
        <f>AVERAGE(D24,F24,H24)</f>
        <v>6.5666666666666673</v>
      </c>
      <c r="F39" s="23">
        <f>STDEV(D24,F24,H24)</f>
        <v>0.27610384519838427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1897.6737641228399</v>
      </c>
      <c r="D40" s="23">
        <f>(STDEV(C23,E23,G23)/C40)*100</f>
        <v>2.3720287902502748</v>
      </c>
      <c r="E40" s="23">
        <f>AVERAGE(D23,F23,H23)</f>
        <v>7.8599999999999994</v>
      </c>
      <c r="F40" s="23">
        <f>STDEV(D23,F23,H23)</f>
        <v>0.542862781925599</v>
      </c>
      <c r="G40" s="3"/>
      <c r="H40" s="3"/>
      <c r="I40" s="12" t="s">
        <v>94</v>
      </c>
      <c r="J40" s="59">
        <f>G115</f>
        <v>10989.784655695221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1654.3487856547299</v>
      </c>
      <c r="D41" s="23">
        <f>(STDEV(C28,E28,G28)/C41)*100</f>
        <v>1.8615159725827022</v>
      </c>
      <c r="E41" s="23">
        <f>AVERAGE(D28,F28,H28)</f>
        <v>9.7666666666666675</v>
      </c>
      <c r="F41" s="23">
        <f>STDEV(D28,F28,H28)</f>
        <v>0.47479820274863466</v>
      </c>
      <c r="G41" s="3"/>
      <c r="H41" s="3"/>
      <c r="I41" s="69" t="s">
        <v>35</v>
      </c>
      <c r="J41" s="62">
        <f>AVERAGE(E41:E42)</f>
        <v>10.77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1276.5738240513501</v>
      </c>
      <c r="D42" s="23">
        <f>(STDEV(C27,E27,G27)/C42)*100</f>
        <v>3.1954936976763402</v>
      </c>
      <c r="E42" s="23">
        <f>AVERAGE(D27,F27,H27)</f>
        <v>11.773333333333333</v>
      </c>
      <c r="F42" s="23">
        <f>STDEV(D27,F27,H27)</f>
        <v>0.70315953618886096</v>
      </c>
      <c r="G42" s="3"/>
      <c r="H42" s="3"/>
      <c r="I42" s="32" t="s">
        <v>105</v>
      </c>
      <c r="J42" s="70">
        <f>(COS(RADIANS(J41)))^2</f>
        <v>0.96508073757047075</v>
      </c>
      <c r="K42" s="3"/>
      <c r="L42" s="3"/>
      <c r="M42" s="38" t="s">
        <v>78</v>
      </c>
      <c r="N42" s="39">
        <f>N43</f>
        <v>1.3196148389180753</v>
      </c>
      <c r="O42" s="39">
        <f>O43*-1</f>
        <v>-1.5353842729520986</v>
      </c>
      <c r="P42" s="39">
        <f>P43*-1</f>
        <v>-0.41711733618651436</v>
      </c>
      <c r="Q42" s="40">
        <f>Q43*200000</f>
        <v>239297.12247243206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937.52393849663997</v>
      </c>
      <c r="D43" s="23">
        <f>(STDEV(C26,E26,G26)/C43)*100</f>
        <v>5.0509276003214332</v>
      </c>
      <c r="E43" s="23">
        <f>AVERAGE(D26,F26,H26)</f>
        <v>14.583333333333334</v>
      </c>
      <c r="F43" s="23">
        <f>STDEV(D26,F26,H26)</f>
        <v>1.0383801487573481</v>
      </c>
      <c r="G43" s="3"/>
      <c r="H43" s="3"/>
      <c r="I43" s="32" t="s">
        <v>106</v>
      </c>
      <c r="J43" s="70">
        <f>SIN(RADIANS(J41))</f>
        <v>0.18686696452163301</v>
      </c>
      <c r="K43" s="3"/>
      <c r="L43" s="3"/>
      <c r="M43" s="38" t="s">
        <v>80</v>
      </c>
      <c r="N43" s="39">
        <v>1.3196148389180753</v>
      </c>
      <c r="O43" s="39">
        <v>1.5353842729520986</v>
      </c>
      <c r="P43" s="39">
        <v>0.41711733618651436</v>
      </c>
      <c r="Q43" s="41">
        <v>1.1964856123621603</v>
      </c>
      <c r="R43" s="4" t="s">
        <v>81</v>
      </c>
    </row>
    <row r="44" spans="1:23" s="4" customFormat="1" ht="18" x14ac:dyDescent="0.35">
      <c r="A44" s="8">
        <f>A29</f>
        <v>40</v>
      </c>
      <c r="B44" s="23">
        <f>B31</f>
        <v>10</v>
      </c>
      <c r="C44" s="23">
        <f>AVERAGE(C31,E31,G31)</f>
        <v>690.81474614163005</v>
      </c>
      <c r="D44" s="23">
        <f>(STDEV(C31,E31,G31)/C44)*100</f>
        <v>3.9517240234407414</v>
      </c>
      <c r="E44" s="23">
        <f>AVERAGE(D31,F31,H31)</f>
        <v>18.426666666666666</v>
      </c>
      <c r="F44" s="23">
        <f>STDEV(D31,F31,H31)</f>
        <v>0.51539628765963441</v>
      </c>
      <c r="G44" s="3"/>
      <c r="H44" s="3"/>
      <c r="I44" s="12" t="s">
        <v>107</v>
      </c>
      <c r="J44" s="59">
        <f>(J40*J42)/J43</f>
        <v>56757.113320750483</v>
      </c>
      <c r="K44" s="3"/>
      <c r="L44" s="3"/>
    </row>
    <row r="45" spans="1:23" s="4" customFormat="1" x14ac:dyDescent="0.25">
      <c r="A45" s="8">
        <f>A30</f>
        <v>40</v>
      </c>
      <c r="B45" s="23">
        <f>B30</f>
        <v>1</v>
      </c>
      <c r="C45" s="23">
        <f>AVERAGE(C30,E30,G30)</f>
        <v>431.14884919105998</v>
      </c>
      <c r="D45" s="23">
        <f>(STDEV(C30,E30,G30)/C45)*100</f>
        <v>5.1950760379017975</v>
      </c>
      <c r="E45" s="23">
        <f>AVERAGE(D30,F30,H30)</f>
        <v>22</v>
      </c>
      <c r="F45" s="23">
        <f>STDEV(D30,F30,H30)</f>
        <v>0.44508426168535803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8">
        <f>A31</f>
        <v>40</v>
      </c>
      <c r="B46" s="23">
        <f>B29</f>
        <v>0.1</v>
      </c>
      <c r="C46" s="23">
        <f>AVERAGE(C29,E29,G29)</f>
        <v>250.4318276306</v>
      </c>
      <c r="D46" s="23">
        <f>(STDEV(C29,E29,G29)/C46)*100</f>
        <v>6.7242183986137736</v>
      </c>
      <c r="E46" s="23">
        <f>AVERAGE(D29,F29,H29)</f>
        <v>25.126666666666665</v>
      </c>
      <c r="F46" s="23">
        <f>STDEV(D29,F29,H29)</f>
        <v>0.69586876157313904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3.4888256420590196</v>
      </c>
      <c r="O46" s="44">
        <f t="shared" ref="O46" si="17">10^N46</f>
        <v>3081.9503789063101</v>
      </c>
    </row>
    <row r="47" spans="1:23" s="4" customFormat="1" x14ac:dyDescent="0.25">
      <c r="A47" s="3"/>
      <c r="B47" s="45"/>
      <c r="C47" s="24"/>
      <c r="D47" s="24"/>
      <c r="E47" s="24"/>
      <c r="F47" s="24"/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3.4803291388122108</v>
      </c>
      <c r="O47" s="44">
        <f>10^N47</f>
        <v>3022.2413190820007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3.4675614085048299</v>
      </c>
      <c r="O48" s="44">
        <f>10^N48</f>
        <v>2934.6844340329867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3.4484710344696552</v>
      </c>
      <c r="O49" s="44">
        <f t="shared" ref="O49:O62" si="18">10^N49</f>
        <v>2808.4780533969833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3.4201394737010835</v>
      </c>
      <c r="O50" s="44">
        <f t="shared" si="18"/>
        <v>2631.112838285871</v>
      </c>
    </row>
    <row r="51" spans="1:15" s="4" customFormat="1" x14ac:dyDescent="0.25">
      <c r="A51" s="24">
        <f>O23</f>
        <v>3202.0799243071006</v>
      </c>
      <c r="B51" s="45">
        <f>10^N42</f>
        <v>20.874440262114465</v>
      </c>
      <c r="C51" s="46">
        <f>O42</f>
        <v>-1.5353842729520986</v>
      </c>
      <c r="D51" s="46">
        <f>P42</f>
        <v>-0.41711733618651436</v>
      </c>
      <c r="E51" s="47">
        <f>Q42</f>
        <v>239297.12247243206</v>
      </c>
      <c r="F51" s="48">
        <f>S23</f>
        <v>0.9976224524438887</v>
      </c>
      <c r="G51" s="45">
        <f>R23/Q37</f>
        <v>3.4478598841247175E-2</v>
      </c>
      <c r="H51" s="3"/>
      <c r="I51" s="3"/>
      <c r="J51" s="3"/>
      <c r="K51" s="3"/>
      <c r="L51" s="3"/>
      <c r="M51" s="43">
        <v>1000</v>
      </c>
      <c r="N51" s="21">
        <f t="shared" si="16"/>
        <v>3.378556084271823</v>
      </c>
      <c r="O51" s="44">
        <f t="shared" si="18"/>
        <v>2390.8706695983719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3.3185033970834472</v>
      </c>
      <c r="O52" s="44">
        <f t="shared" si="18"/>
        <v>2082.1086915640694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3.2337769556273335</v>
      </c>
      <c r="O53" s="44">
        <f t="shared" si="18"/>
        <v>1713.0772816330227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3.118089451079129</v>
      </c>
      <c r="O54" s="44">
        <f t="shared" si="18"/>
        <v>1312.4701989902815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2.9669934671090168</v>
      </c>
      <c r="O55" s="44">
        <f t="shared" si="18"/>
        <v>926.81588161193588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2.7807082663328102</v>
      </c>
      <c r="O56" s="44">
        <f t="shared" si="18"/>
        <v>603.54306819328224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2.5666990549419486</v>
      </c>
      <c r="O57" s="44">
        <f t="shared" si="18"/>
        <v>368.72200351893252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2.3399057392986151</v>
      </c>
      <c r="O58" s="44">
        <f t="shared" si="18"/>
        <v>218.72868365045827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2.1192249604653655</v>
      </c>
      <c r="O59" s="44">
        <f t="shared" si="18"/>
        <v>131.59062827879677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1.9216218415344835</v>
      </c>
      <c r="O60" s="44">
        <f t="shared" si="18"/>
        <v>83.487574023165578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1.7574282148571343</v>
      </c>
      <c r="O61" s="18">
        <f t="shared" si="18"/>
        <v>57.204239314949682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1.6292619887000335</v>
      </c>
      <c r="O62" s="18">
        <f t="shared" si="18"/>
        <v>42.585523337498273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N8-1 RH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4.8602828620717586</v>
      </c>
      <c r="E85" s="57">
        <f>10^(LOG(C85)+D85)</f>
        <v>1812269.8726008211</v>
      </c>
      <c r="F85" s="58">
        <f>10^($N$42+($P$23-$N$42)/(1+EXP($O$42+$P$42*(LOG10(C85)+$Q$42/19.147142*(1/(273.2+A85)-1/($M$23+273.2))))))</f>
        <v>2960.3540740207823</v>
      </c>
      <c r="G85" s="59">
        <f>F85*6.89476</f>
        <v>20410.930855395527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4.8602828620717586</v>
      </c>
      <c r="E86" s="57">
        <f t="shared" ref="E86:E115" si="20">10^(LOG(C86)+D86)</f>
        <v>724907.94904032908</v>
      </c>
      <c r="F86" s="58">
        <f t="shared" ref="F86:F115" si="21">10^($N$42+($P$23-$N$42)/(1+EXP($O$42+$P$42*(LOG10(C86)+$Q$42/19.147142*(1/(273.2+A86)-1/($M$23+273.2))))))</f>
        <v>2919.4543460953473</v>
      </c>
      <c r="G86" s="59">
        <f t="shared" ref="G86:G115" si="22">F86*6.89476</f>
        <v>20128.937047284355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4.8602828620717586</v>
      </c>
      <c r="E87" s="57">
        <f t="shared" si="20"/>
        <v>362453.97452016384</v>
      </c>
      <c r="F87" s="58">
        <f t="shared" si="21"/>
        <v>2884.3248447519645</v>
      </c>
      <c r="G87" s="59">
        <f t="shared" si="22"/>
        <v>19886.727566602054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4.8602828620717586</v>
      </c>
      <c r="E88" s="57">
        <f t="shared" si="20"/>
        <v>72490.794904032824</v>
      </c>
      <c r="F88" s="58">
        <f t="shared" si="21"/>
        <v>2786.7897149417927</v>
      </c>
      <c r="G88" s="59">
        <f t="shared" si="22"/>
        <v>19214.246254992075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4.8602828620717586</v>
      </c>
      <c r="E89" s="57">
        <f t="shared" si="20"/>
        <v>36245.397452016412</v>
      </c>
      <c r="F89" s="58">
        <f t="shared" si="21"/>
        <v>2737.0620129237823</v>
      </c>
      <c r="G89" s="59">
        <f t="shared" si="22"/>
        <v>18871.385684226378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4.8602828620717586</v>
      </c>
      <c r="E90" s="57">
        <f t="shared" si="20"/>
        <v>7249.0794904032873</v>
      </c>
      <c r="F90" s="58">
        <f t="shared" si="21"/>
        <v>2601.1717644439091</v>
      </c>
      <c r="G90" s="59">
        <f t="shared" si="22"/>
        <v>17934.455034617287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2.3890124938670905</v>
      </c>
      <c r="E91" s="57">
        <f t="shared" si="20"/>
        <v>6122.8342449500869</v>
      </c>
      <c r="F91" s="58">
        <f t="shared" si="21"/>
        <v>2585.3457166219046</v>
      </c>
      <c r="G91" s="59">
        <f t="shared" si="22"/>
        <v>17825.338233136041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2.3890124938670905</v>
      </c>
      <c r="E92" s="57">
        <f t="shared" si="20"/>
        <v>2449.1336979800367</v>
      </c>
      <c r="F92" s="58">
        <f t="shared" si="21"/>
        <v>2492.1705410932786</v>
      </c>
      <c r="G92" s="59">
        <f t="shared" si="22"/>
        <v>17182.917759908294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2.3890124938670905</v>
      </c>
      <c r="E93" s="57">
        <f t="shared" si="20"/>
        <v>1224.5668489900183</v>
      </c>
      <c r="F93" s="58">
        <f t="shared" si="21"/>
        <v>2414.5217823243488</v>
      </c>
      <c r="G93" s="59">
        <f t="shared" si="22"/>
        <v>16647.548203898627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2.3890124938670905</v>
      </c>
      <c r="E94" s="57">
        <f t="shared" si="20"/>
        <v>244.91336979800363</v>
      </c>
      <c r="F94" s="58">
        <f t="shared" si="21"/>
        <v>2209.977526435584</v>
      </c>
      <c r="G94" s="59">
        <f t="shared" si="22"/>
        <v>15237.264650167006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2.3890124938670905</v>
      </c>
      <c r="E95" s="57">
        <f t="shared" si="20"/>
        <v>122.4566848990018</v>
      </c>
      <c r="F95" s="58">
        <f t="shared" si="21"/>
        <v>2111.6610159918446</v>
      </c>
      <c r="G95" s="59">
        <f t="shared" si="22"/>
        <v>14559.39590661993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2.3890124938670905</v>
      </c>
      <c r="E96" s="57">
        <f t="shared" si="20"/>
        <v>24.491336979800359</v>
      </c>
      <c r="F96" s="58">
        <f t="shared" si="21"/>
        <v>1862.1381946649676</v>
      </c>
      <c r="G96" s="59">
        <f t="shared" si="22"/>
        <v>12838.995939048231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-0.16097865150680679</v>
      </c>
      <c r="E97" s="57">
        <f t="shared" si="20"/>
        <v>17.2568433650119</v>
      </c>
      <c r="F97" s="58">
        <f t="shared" si="21"/>
        <v>1804.8281401962911</v>
      </c>
      <c r="G97" s="59">
        <f t="shared" si="22"/>
        <v>12443.85686789978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-0.16097865150680679</v>
      </c>
      <c r="E98" s="57">
        <f t="shared" si="20"/>
        <v>6.9027373460047583</v>
      </c>
      <c r="F98" s="58">
        <f t="shared" si="21"/>
        <v>1649.6876334272295</v>
      </c>
      <c r="G98" s="59">
        <f t="shared" si="22"/>
        <v>11374.200307448724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-0.16097865150680679</v>
      </c>
      <c r="E99" s="57">
        <f t="shared" si="20"/>
        <v>3.4513686730023796</v>
      </c>
      <c r="F99" s="58">
        <f t="shared" si="21"/>
        <v>1529.4102942028737</v>
      </c>
      <c r="G99" s="59">
        <f t="shared" si="22"/>
        <v>10544.916920058206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-0.16097865150680679</v>
      </c>
      <c r="E100" s="57">
        <f t="shared" si="20"/>
        <v>0.6902737346004757</v>
      </c>
      <c r="F100" s="58">
        <f t="shared" si="21"/>
        <v>1248.0483526212834</v>
      </c>
      <c r="G100" s="59">
        <f t="shared" si="22"/>
        <v>8604.9938597191194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-0.16097865150680679</v>
      </c>
      <c r="E101" s="57">
        <f t="shared" si="20"/>
        <v>0.34513686730023779</v>
      </c>
      <c r="F101" s="58">
        <f t="shared" si="21"/>
        <v>1129.3308016028927</v>
      </c>
      <c r="G101" s="59">
        <f t="shared" si="22"/>
        <v>7786.4648376595605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-0.16097865150680679</v>
      </c>
      <c r="E102" s="57">
        <f t="shared" si="20"/>
        <v>6.9027373460047572E-2</v>
      </c>
      <c r="F102" s="58">
        <f t="shared" si="21"/>
        <v>869.54687657410557</v>
      </c>
      <c r="G102" s="59">
        <f t="shared" si="22"/>
        <v>5995.3170227280798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-2.4375953642285548</v>
      </c>
      <c r="E103" s="57">
        <f t="shared" si="20"/>
        <v>9.1273487392698235E-2</v>
      </c>
      <c r="F103" s="58">
        <f t="shared" si="21"/>
        <v>912.831957551502</v>
      </c>
      <c r="G103" s="59">
        <f t="shared" si="22"/>
        <v>6293.7572676477939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-2.4375953642285548</v>
      </c>
      <c r="E104" s="57">
        <f t="shared" si="20"/>
        <v>3.6509394957079284E-2</v>
      </c>
      <c r="F104" s="58">
        <f t="shared" si="21"/>
        <v>775.71283385475647</v>
      </c>
      <c r="G104" s="59">
        <f t="shared" si="22"/>
        <v>5348.3538183484206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-2.4375953642285548</v>
      </c>
      <c r="E105" s="57">
        <f t="shared" si="20"/>
        <v>1.8254697478539632E-2</v>
      </c>
      <c r="F105" s="58">
        <f t="shared" si="21"/>
        <v>680.26404842531861</v>
      </c>
      <c r="G105" s="59">
        <f t="shared" si="22"/>
        <v>4690.2573505209493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-2.4375953642285548</v>
      </c>
      <c r="E106" s="57">
        <f t="shared" si="20"/>
        <v>3.6509394957079258E-3</v>
      </c>
      <c r="F106" s="58">
        <f t="shared" si="21"/>
        <v>489.68027073355279</v>
      </c>
      <c r="G106" s="59">
        <f t="shared" si="22"/>
        <v>3376.2279434428701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-2.4375953642285548</v>
      </c>
      <c r="E107" s="57">
        <f t="shared" si="20"/>
        <v>1.8254697478539625E-3</v>
      </c>
      <c r="F107" s="58">
        <f t="shared" si="21"/>
        <v>421.46812267472433</v>
      </c>
      <c r="G107" s="59">
        <f t="shared" si="22"/>
        <v>2905.9215534927821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-2.4375953642285548</v>
      </c>
      <c r="E108" s="57">
        <f t="shared" si="20"/>
        <v>3.6509394957079248E-4</v>
      </c>
      <c r="F108" s="58">
        <f t="shared" si="21"/>
        <v>293.8506737894516</v>
      </c>
      <c r="G108" s="59">
        <f t="shared" si="22"/>
        <v>2026.0298716165594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-4.4825621663845592</v>
      </c>
      <c r="E109" s="57">
        <f t="shared" si="20"/>
        <v>8.2295832385728131E-4</v>
      </c>
      <c r="F109" s="58">
        <f t="shared" si="21"/>
        <v>353.24373140952889</v>
      </c>
      <c r="G109" s="59">
        <f t="shared" si="22"/>
        <v>2435.5307495731631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-4.4825621663845592</v>
      </c>
      <c r="E110" s="57">
        <f t="shared" si="20"/>
        <v>3.291833295429128E-4</v>
      </c>
      <c r="F110" s="58">
        <f t="shared" si="21"/>
        <v>287.10778445917413</v>
      </c>
      <c r="G110" s="59">
        <f t="shared" si="22"/>
        <v>1979.5392679777353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-4.4825621663845592</v>
      </c>
      <c r="E111" s="57">
        <f t="shared" si="20"/>
        <v>1.6459166477145637E-4</v>
      </c>
      <c r="F111" s="58">
        <f t="shared" si="21"/>
        <v>245.16546819430008</v>
      </c>
      <c r="G111" s="59">
        <f t="shared" si="22"/>
        <v>1690.3570634873324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-4.4825621663845592</v>
      </c>
      <c r="E112" s="57">
        <f t="shared" si="20"/>
        <v>3.2918332954291239E-5</v>
      </c>
      <c r="F112" s="58">
        <f t="shared" si="21"/>
        <v>170.53371502348108</v>
      </c>
      <c r="G112" s="59">
        <f t="shared" si="22"/>
        <v>1175.7890369952963</v>
      </c>
    </row>
    <row r="113" spans="1:8" x14ac:dyDescent="0.25">
      <c r="A113" s="23">
        <v>54.444444444444443</v>
      </c>
      <c r="B113" s="8">
        <v>130</v>
      </c>
      <c r="C113" s="8">
        <v>0.5</v>
      </c>
      <c r="D113" s="56">
        <f t="shared" si="19"/>
        <v>-4.4825621663845592</v>
      </c>
      <c r="E113" s="57">
        <f t="shared" si="20"/>
        <v>1.645916647714562E-5</v>
      </c>
      <c r="F113" s="58">
        <f t="shared" si="21"/>
        <v>146.50157234379509</v>
      </c>
      <c r="G113" s="59">
        <f t="shared" si="22"/>
        <v>1010.0931809331046</v>
      </c>
    </row>
    <row r="114" spans="1:8" x14ac:dyDescent="0.25">
      <c r="A114" s="23">
        <v>54.444444444444443</v>
      </c>
      <c r="B114" s="8">
        <v>130</v>
      </c>
      <c r="C114" s="8">
        <v>0.1</v>
      </c>
      <c r="D114" s="56">
        <f t="shared" si="19"/>
        <v>-4.4825621663845592</v>
      </c>
      <c r="E114" s="57">
        <f t="shared" si="20"/>
        <v>3.2918332954291265E-6</v>
      </c>
      <c r="F114" s="58">
        <f t="shared" si="21"/>
        <v>104.82166472624347</v>
      </c>
      <c r="G114" s="59">
        <f t="shared" si="22"/>
        <v>722.72022108791441</v>
      </c>
    </row>
    <row r="115" spans="1:8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1593.932878837729</v>
      </c>
      <c r="G115" s="67">
        <f t="shared" si="22"/>
        <v>10989.784655695221</v>
      </c>
      <c r="H115" s="68" t="s">
        <v>103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9346-8809-4E10-A4EA-9327195DDFB5}">
  <dimension ref="A1:CJ115"/>
  <sheetViews>
    <sheetView view="pageBreakPreview" topLeftCell="A19" zoomScale="80" zoomScaleNormal="70" zoomScaleSheetLayoutView="80" workbookViewId="0">
      <selection activeCell="L72" sqref="L72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8.5703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127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2.6560000000000001</v>
      </c>
      <c r="F14" s="8" t="s">
        <v>14</v>
      </c>
      <c r="G14" s="60" t="s">
        <v>110</v>
      </c>
      <c r="H14" s="16">
        <v>7.5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5.32</v>
      </c>
      <c r="F15" s="8" t="s">
        <v>24</v>
      </c>
      <c r="G15" s="60" t="s">
        <v>115</v>
      </c>
      <c r="H15" s="16">
        <v>6.4</v>
      </c>
      <c r="M15" s="4" t="str">
        <f t="shared" ref="M15:N17" si="0">G14</f>
        <v>1B</v>
      </c>
      <c r="N15" s="18">
        <f t="shared" si="0"/>
        <v>7.5</v>
      </c>
      <c r="O15" s="4">
        <f>$B$14</f>
        <v>2.6560000000000001</v>
      </c>
      <c r="P15" s="20">
        <f>$B$15</f>
        <v>5.32</v>
      </c>
      <c r="Q15" s="21">
        <f>$B$16</f>
        <v>2.5099999999999998</v>
      </c>
      <c r="R15" s="21">
        <f t="shared" ref="R15:R17" si="1">((Q15*(N15-100))/-100)</f>
        <v>2.3217499999999998</v>
      </c>
      <c r="S15" s="18">
        <f t="shared" ref="S15:S17" si="2">100-((R15*(100-P15))/O15)</f>
        <v>17.235207078313266</v>
      </c>
      <c r="T15" s="18">
        <f t="shared" ref="T15:T17" si="3">100*((S15-N15)/S15)</f>
        <v>56.484421881782275</v>
      </c>
      <c r="U15" s="18"/>
      <c r="W15" s="18"/>
    </row>
    <row r="16" spans="1:23" x14ac:dyDescent="0.25">
      <c r="A16" s="8" t="s">
        <v>25</v>
      </c>
      <c r="B16" s="22">
        <v>2.5099999999999998</v>
      </c>
      <c r="F16" s="8" t="s">
        <v>26</v>
      </c>
      <c r="G16" s="60" t="s">
        <v>128</v>
      </c>
      <c r="H16" s="16">
        <v>6.9</v>
      </c>
      <c r="M16" s="4" t="str">
        <f t="shared" si="0"/>
        <v>2B</v>
      </c>
      <c r="N16" s="18">
        <f t="shared" si="0"/>
        <v>6.4</v>
      </c>
      <c r="O16" s="4">
        <f t="shared" ref="O16:O17" si="4">$B$14</f>
        <v>2.6560000000000001</v>
      </c>
      <c r="P16" s="20">
        <f t="shared" ref="P16:P17" si="5">$B$15</f>
        <v>5.32</v>
      </c>
      <c r="Q16" s="21">
        <f t="shared" ref="Q16:Q17" si="6">$B$16</f>
        <v>2.5099999999999998</v>
      </c>
      <c r="R16" s="21">
        <f t="shared" si="1"/>
        <v>2.3493599999999999</v>
      </c>
      <c r="S16" s="18">
        <f t="shared" si="2"/>
        <v>16.250977108433744</v>
      </c>
      <c r="T16" s="18">
        <f t="shared" si="3"/>
        <v>60.617752660062493</v>
      </c>
      <c r="U16" s="18"/>
    </row>
    <row r="17" spans="1:88" x14ac:dyDescent="0.25">
      <c r="A17" s="8" t="s">
        <v>21</v>
      </c>
      <c r="B17" s="23">
        <f>AVERAGE(S15:S17)</f>
        <v>16.728179518072306</v>
      </c>
      <c r="M17" s="4" t="str">
        <f t="shared" si="0"/>
        <v>3B</v>
      </c>
      <c r="N17" s="18">
        <f t="shared" si="0"/>
        <v>6.9</v>
      </c>
      <c r="O17" s="4">
        <f t="shared" si="4"/>
        <v>2.6560000000000001</v>
      </c>
      <c r="P17" s="20">
        <f t="shared" si="5"/>
        <v>5.32</v>
      </c>
      <c r="Q17" s="21">
        <f t="shared" si="6"/>
        <v>2.5099999999999998</v>
      </c>
      <c r="R17" s="21">
        <f t="shared" si="1"/>
        <v>2.3368099999999994</v>
      </c>
      <c r="S17" s="18">
        <f t="shared" si="2"/>
        <v>16.698354367469904</v>
      </c>
      <c r="T17" s="18">
        <f t="shared" si="3"/>
        <v>58.67856288017277</v>
      </c>
    </row>
    <row r="18" spans="1:88" x14ac:dyDescent="0.25">
      <c r="A18" s="8" t="s">
        <v>22</v>
      </c>
      <c r="B18" s="23">
        <f>AVERAGE(T15:T17)</f>
        <v>58.59357914067251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1584.39225002124</v>
      </c>
      <c r="D23" s="16">
        <v>7.99</v>
      </c>
      <c r="E23" s="16">
        <v>1857.9334239080999</v>
      </c>
      <c r="F23" s="16">
        <v>7.61</v>
      </c>
      <c r="G23" s="16">
        <v>1843.4296501071001</v>
      </c>
      <c r="H23" s="16">
        <v>7.48</v>
      </c>
      <c r="M23" s="4">
        <v>20</v>
      </c>
      <c r="N23" s="29">
        <f>(20+(B18*3*145000)/(B17))^0.58/(650+((B18*3*145000)/B17)^0.58)</f>
        <v>0.85573721632567745</v>
      </c>
      <c r="O23" s="18">
        <f>(N23*(4200000*(1-B17/100)+3*145000*(B17*B18)/10000)+(1-N23)/((1-B17/100)/4200000+B17/(3*B18*145000)))/1000</f>
        <v>3198.1675629219671</v>
      </c>
      <c r="P23" s="29">
        <f>LOG10(O23)</f>
        <v>3.5049012141775613</v>
      </c>
      <c r="R23" s="30">
        <f>(1/6*T38)^0.5</f>
        <v>7.3178061216319559E-3</v>
      </c>
      <c r="S23" s="30">
        <f>1-R23^2/Q38^2*12/6</f>
        <v>0.9993823756904453</v>
      </c>
      <c r="T23" s="30">
        <f>(1-8*R23^2/9*Q38^2)</f>
        <v>0.99999174576768068</v>
      </c>
    </row>
    <row r="24" spans="1:88" x14ac:dyDescent="0.25">
      <c r="A24" s="8">
        <v>4</v>
      </c>
      <c r="B24" s="23">
        <v>1</v>
      </c>
      <c r="C24" s="16">
        <v>1896.6584999567699</v>
      </c>
      <c r="D24" s="16">
        <v>6.76</v>
      </c>
      <c r="E24" s="16">
        <v>2194.4209760913</v>
      </c>
      <c r="F24" s="16">
        <v>6.5</v>
      </c>
      <c r="G24" s="16">
        <v>2178.0317116961701</v>
      </c>
      <c r="H24" s="16">
        <v>6.34</v>
      </c>
    </row>
    <row r="25" spans="1:88" x14ac:dyDescent="0.25">
      <c r="A25" s="8">
        <v>4</v>
      </c>
      <c r="B25" s="23">
        <v>10</v>
      </c>
      <c r="C25" s="16">
        <v>2220.5277689331001</v>
      </c>
      <c r="D25" s="16">
        <v>5.82</v>
      </c>
      <c r="E25" s="16">
        <v>2537.14515100893</v>
      </c>
      <c r="F25" s="16">
        <v>5.65</v>
      </c>
      <c r="G25" s="16">
        <v>2523.8016791120099</v>
      </c>
      <c r="H25" s="16">
        <v>5.63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790.16559667848003</v>
      </c>
      <c r="D26" s="16">
        <v>14.21</v>
      </c>
      <c r="E26" s="16">
        <v>978.56961835346999</v>
      </c>
      <c r="F26" s="16">
        <v>13.56</v>
      </c>
      <c r="G26" s="16">
        <v>971.75284466699998</v>
      </c>
      <c r="H26" s="16">
        <v>13.68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1068.4930159196699</v>
      </c>
      <c r="D27" s="16">
        <v>11.72</v>
      </c>
      <c r="E27" s="16">
        <v>1304.03430244791</v>
      </c>
      <c r="F27" s="16">
        <v>10.99</v>
      </c>
      <c r="G27" s="16">
        <v>1295.0419626912901</v>
      </c>
      <c r="H27" s="16">
        <v>11.04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1387.72107727968</v>
      </c>
      <c r="D28" s="16">
        <v>9.74</v>
      </c>
      <c r="E28" s="16">
        <v>1667.2087984249499</v>
      </c>
      <c r="F28" s="16">
        <v>8.74</v>
      </c>
      <c r="G28" s="16">
        <v>1651.39968498186</v>
      </c>
      <c r="H28" s="16">
        <v>9.06</v>
      </c>
      <c r="I28" s="3"/>
      <c r="J28" s="3"/>
      <c r="K28" s="3"/>
      <c r="L28" s="3"/>
      <c r="M28" s="32">
        <f t="shared" ref="M28:N37" si="7">A23</f>
        <v>4</v>
      </c>
      <c r="N28" s="32">
        <f t="shared" si="7"/>
        <v>0.1</v>
      </c>
      <c r="O28" s="33">
        <f>C40</f>
        <v>1761.9184413454802</v>
      </c>
      <c r="P28" s="33">
        <f>E40</f>
        <v>7.6933333333333342</v>
      </c>
      <c r="Q28" s="34">
        <f>LOG10(O28)</f>
        <v>3.2459858011853377</v>
      </c>
      <c r="R28" s="34">
        <f t="shared" ref="R28:R37" si="8">$N$42+($P$23-$N$42)/(1+EXP($O$42+$P$42*(LOG10(N28)+$Q$42/19.147142*(1/(273.2+M28)-1/($M$23+273.2)))))</f>
        <v>3.2494744655354881</v>
      </c>
      <c r="S28" s="34">
        <f>Q28-R28</f>
        <v>-3.4886643501503833E-3</v>
      </c>
      <c r="T28" s="35">
        <f>S28^2</f>
        <v>1.2170778948010196E-5</v>
      </c>
      <c r="U28" s="34">
        <f>$Q$42/19.147143*(1/(M28+273.15)-1/($M$23+273.15))</f>
        <v>2.5349079712114633</v>
      </c>
      <c r="V28" s="34">
        <f>LOG10(N28)+U28</f>
        <v>1.5349079712114633</v>
      </c>
      <c r="W28" s="34">
        <f>10^V28</f>
        <v>34.269516033660786</v>
      </c>
    </row>
    <row r="29" spans="1:88" s="4" customFormat="1" x14ac:dyDescent="0.25">
      <c r="A29" s="15">
        <v>40</v>
      </c>
      <c r="B29" s="36">
        <v>0.01</v>
      </c>
      <c r="C29" s="16">
        <v>109.822575221172</v>
      </c>
      <c r="D29" s="16">
        <v>28.25</v>
      </c>
      <c r="E29" s="16">
        <v>153.44992681458001</v>
      </c>
      <c r="F29" s="16">
        <v>27.5</v>
      </c>
      <c r="G29" s="16">
        <v>158.81632312094999</v>
      </c>
      <c r="H29" s="16">
        <v>27.59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2089.70372924808</v>
      </c>
      <c r="P29" s="33">
        <f>E39</f>
        <v>6.5333333333333341</v>
      </c>
      <c r="Q29" s="34">
        <f t="shared" ref="Q29:Q37" si="9">LOG10(O29)</f>
        <v>3.320084717750587</v>
      </c>
      <c r="R29" s="34">
        <f t="shared" si="8"/>
        <v>3.3200702070359407</v>
      </c>
      <c r="S29" s="34">
        <f t="shared" ref="S29:S37" si="10">Q29-R29</f>
        <v>1.4510714646309708E-5</v>
      </c>
      <c r="T29" s="35">
        <f t="shared" ref="T29:T37" si="11">S29^2</f>
        <v>2.1056083954662708E-10</v>
      </c>
      <c r="U29" s="34">
        <f t="shared" ref="U29:U37" si="12">$Q$42/19.147143*(1/(M29+273.15)-1/($M$23+273.15))</f>
        <v>2.5349079712114633</v>
      </c>
      <c r="V29" s="34">
        <f t="shared" ref="V29:V37" si="13">LOG10(N29)+U29</f>
        <v>2.5349079712114633</v>
      </c>
      <c r="W29" s="34">
        <f t="shared" ref="W29:W37" si="14">10^V29</f>
        <v>342.6951603366079</v>
      </c>
    </row>
    <row r="30" spans="1:88" s="4" customFormat="1" x14ac:dyDescent="0.25">
      <c r="A30" s="15">
        <v>40</v>
      </c>
      <c r="B30" s="23">
        <v>0.1</v>
      </c>
      <c r="C30" s="16">
        <v>206.67877666424999</v>
      </c>
      <c r="D30" s="16">
        <v>25.06</v>
      </c>
      <c r="E30" s="16">
        <v>265.12898508228</v>
      </c>
      <c r="F30" s="16">
        <v>25.12</v>
      </c>
      <c r="G30" s="16">
        <v>271.80072103074002</v>
      </c>
      <c r="H30" s="16">
        <v>24.96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2427.1581996846799</v>
      </c>
      <c r="P30" s="33">
        <f>E38</f>
        <v>5.7</v>
      </c>
      <c r="Q30" s="34">
        <f t="shared" si="9"/>
        <v>3.3850980841238498</v>
      </c>
      <c r="R30" s="34">
        <f t="shared" si="8"/>
        <v>3.3721509767246824</v>
      </c>
      <c r="S30" s="34">
        <f t="shared" si="10"/>
        <v>1.2947107399167379E-2</v>
      </c>
      <c r="T30" s="35">
        <f t="shared" si="11"/>
        <v>1.676275900055747E-4</v>
      </c>
      <c r="U30" s="34">
        <f t="shared" si="12"/>
        <v>2.5349079712114633</v>
      </c>
      <c r="V30" s="34">
        <f t="shared" si="13"/>
        <v>3.5349079712114633</v>
      </c>
      <c r="W30" s="34">
        <f t="shared" si="14"/>
        <v>3426.951603366083</v>
      </c>
    </row>
    <row r="31" spans="1:88" s="4" customFormat="1" x14ac:dyDescent="0.25">
      <c r="A31" s="15">
        <v>40</v>
      </c>
      <c r="B31" s="23">
        <v>1</v>
      </c>
      <c r="C31" s="16">
        <v>354.47223169644002</v>
      </c>
      <c r="D31" s="16">
        <v>21.59</v>
      </c>
      <c r="E31" s="16">
        <v>442.07502545448</v>
      </c>
      <c r="F31" s="16">
        <v>21.46</v>
      </c>
      <c r="G31" s="16">
        <v>449.76202556901001</v>
      </c>
      <c r="H31" s="16">
        <v>21.13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913.49601989965004</v>
      </c>
      <c r="P31" s="33">
        <f>E43</f>
        <v>13.816666666666668</v>
      </c>
      <c r="Q31" s="34">
        <f t="shared" si="9"/>
        <v>2.9607066594724811</v>
      </c>
      <c r="R31" s="34">
        <f t="shared" si="8"/>
        <v>2.9547331348494827</v>
      </c>
      <c r="S31" s="34">
        <f t="shared" si="10"/>
        <v>5.9735246229983829E-3</v>
      </c>
      <c r="T31" s="35">
        <f t="shared" si="11"/>
        <v>3.5682996421567972E-5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15">
        <v>40</v>
      </c>
      <c r="B32" s="23">
        <v>10</v>
      </c>
      <c r="C32" s="16">
        <v>571.73876323542004</v>
      </c>
      <c r="D32" s="16">
        <v>18.02</v>
      </c>
      <c r="E32" s="16">
        <v>706.3337841087</v>
      </c>
      <c r="F32" s="16">
        <v>17.38</v>
      </c>
      <c r="G32" s="16">
        <v>713.00552005715997</v>
      </c>
      <c r="H32" s="16">
        <v>17.170000000000002</v>
      </c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1222.5230936862899</v>
      </c>
      <c r="P32" s="33">
        <f>E42</f>
        <v>11.25</v>
      </c>
      <c r="Q32" s="34">
        <f t="shared" si="9"/>
        <v>3.0872570717758565</v>
      </c>
      <c r="R32" s="34">
        <f t="shared" si="8"/>
        <v>3.0939095264744556</v>
      </c>
      <c r="S32" s="34">
        <f t="shared" si="10"/>
        <v>-6.6524546985990973E-3</v>
      </c>
      <c r="T32" s="35">
        <f t="shared" si="11"/>
        <v>4.4255153516913207E-5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1568.7765202288301</v>
      </c>
      <c r="P33" s="33">
        <f>E41</f>
        <v>9.18</v>
      </c>
      <c r="Q33" s="34">
        <f t="shared" si="9"/>
        <v>3.1955610806524835</v>
      </c>
      <c r="R33" s="34">
        <f t="shared" si="8"/>
        <v>3.2024985181755938</v>
      </c>
      <c r="S33" s="34">
        <f t="shared" si="10"/>
        <v>-6.9374375231103791E-3</v>
      </c>
      <c r="T33" s="35">
        <f t="shared" si="11"/>
        <v>4.8128039387059875E-5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0.01</v>
      </c>
      <c r="O34" s="33">
        <f>C47</f>
        <v>140.696275052234</v>
      </c>
      <c r="P34" s="33">
        <f>E47</f>
        <v>27.78</v>
      </c>
      <c r="Q34" s="34">
        <f t="shared" si="9"/>
        <v>2.1482825995976835</v>
      </c>
      <c r="R34" s="34">
        <f t="shared" si="8"/>
        <v>2.1489410088265108</v>
      </c>
      <c r="S34" s="34">
        <f t="shared" si="10"/>
        <v>-6.5840922882731689E-4</v>
      </c>
      <c r="T34" s="35">
        <f t="shared" si="11"/>
        <v>4.3350271260498217E-7</v>
      </c>
      <c r="U34" s="34">
        <f t="shared" si="12"/>
        <v>-2.8043658958217241</v>
      </c>
      <c r="V34" s="34">
        <f t="shared" si="13"/>
        <v>-4.8043658958217241</v>
      </c>
      <c r="W34" s="34">
        <f t="shared" si="14"/>
        <v>1.5690403210115301E-5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0.1</v>
      </c>
      <c r="O35" s="33">
        <f>C46</f>
        <v>247.86949425908998</v>
      </c>
      <c r="P35" s="33">
        <f>E46</f>
        <v>25.046666666666667</v>
      </c>
      <c r="Q35" s="34">
        <f t="shared" si="9"/>
        <v>2.394223080659847</v>
      </c>
      <c r="R35" s="34">
        <f t="shared" si="8"/>
        <v>2.3936634903047471</v>
      </c>
      <c r="S35" s="34">
        <f t="shared" si="10"/>
        <v>5.5959035509989263E-4</v>
      </c>
      <c r="T35" s="35">
        <f t="shared" si="11"/>
        <v>3.1314136552082392E-7</v>
      </c>
      <c r="U35" s="34">
        <f t="shared" si="12"/>
        <v>-2.8043658958217241</v>
      </c>
      <c r="V35" s="34">
        <f t="shared" si="13"/>
        <v>-3.8043658958217241</v>
      </c>
      <c r="W35" s="34">
        <f t="shared" si="14"/>
        <v>1.569040321011532E-4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</v>
      </c>
      <c r="O36" s="33">
        <f>C45</f>
        <v>415.43642757331003</v>
      </c>
      <c r="P36" s="33">
        <f>E45</f>
        <v>21.393333333333331</v>
      </c>
      <c r="Q36" s="34">
        <f t="shared" si="9"/>
        <v>2.6185045750119249</v>
      </c>
      <c r="R36" s="34">
        <f t="shared" si="8"/>
        <v>2.6202894236045347</v>
      </c>
      <c r="S36" s="34">
        <f t="shared" si="10"/>
        <v>-1.7848485926097446E-3</v>
      </c>
      <c r="T36" s="35">
        <f t="shared" si="11"/>
        <v>3.1856844985409861E-6</v>
      </c>
      <c r="U36" s="34">
        <f t="shared" si="12"/>
        <v>-2.8043658958217241</v>
      </c>
      <c r="V36" s="34">
        <f t="shared" si="13"/>
        <v>-2.8043658958217241</v>
      </c>
      <c r="W36" s="34">
        <f t="shared" si="14"/>
        <v>1.5690403210115323E-3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M37" s="32">
        <f t="shared" si="7"/>
        <v>40</v>
      </c>
      <c r="N37" s="32">
        <f t="shared" si="7"/>
        <v>10</v>
      </c>
      <c r="O37" s="33">
        <f>C44</f>
        <v>663.69268913375993</v>
      </c>
      <c r="P37" s="33">
        <f>E44</f>
        <v>17.523333333333333</v>
      </c>
      <c r="Q37" s="34">
        <f t="shared" si="9"/>
        <v>2.8219670337240781</v>
      </c>
      <c r="R37" s="34">
        <f t="shared" si="8"/>
        <v>2.8188840771583554</v>
      </c>
      <c r="S37" s="34">
        <f t="shared" si="10"/>
        <v>3.082956565722661E-3</v>
      </c>
      <c r="T37" s="35">
        <f t="shared" si="11"/>
        <v>9.5046211861324641E-6</v>
      </c>
      <c r="U37" s="34">
        <f t="shared" si="12"/>
        <v>-2.8043658958217241</v>
      </c>
      <c r="V37" s="34">
        <f t="shared" si="13"/>
        <v>-1.8043658958217241</v>
      </c>
      <c r="W37" s="34">
        <f t="shared" si="14"/>
        <v>1.5690403210115327E-2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2427.1581996846799</v>
      </c>
      <c r="D38" s="23">
        <f>(STDEV(C25,E25,G25)/C38)*100</f>
        <v>7.3778269215381833</v>
      </c>
      <c r="E38" s="23">
        <f>AVERAGE(D25,F25,H25)</f>
        <v>5.7</v>
      </c>
      <c r="F38" s="23">
        <f>STDEV(D25,F25,H25)</f>
        <v>0.10440306508910562</v>
      </c>
      <c r="G38" s="3"/>
      <c r="H38" s="3"/>
      <c r="I38" s="26" t="s">
        <v>32</v>
      </c>
      <c r="J38" s="8">
        <v>20</v>
      </c>
      <c r="K38" s="3"/>
      <c r="L38" s="3"/>
      <c r="P38" s="32" t="s">
        <v>68</v>
      </c>
      <c r="Q38" s="35">
        <f>STDEV(Q28:Q37)</f>
        <v>0.41642203887887985</v>
      </c>
      <c r="S38" s="32" t="s">
        <v>69</v>
      </c>
      <c r="T38" s="35">
        <f>SUM(T28:T37)</f>
        <v>3.2130171860276477E-4</v>
      </c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2089.70372924808</v>
      </c>
      <c r="D39" s="23">
        <f>(STDEV(C24,E24,G24)/C39)*100</f>
        <v>8.0098812447964125</v>
      </c>
      <c r="E39" s="23">
        <f>AVERAGE(D24,F24,H24)</f>
        <v>6.5333333333333341</v>
      </c>
      <c r="F39" s="23">
        <f>STDEV(D24,F24,H24)</f>
        <v>0.21197484127446189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1761.9184413454802</v>
      </c>
      <c r="D40" s="23">
        <f>(STDEV(C23,E23,G23)/C40)*100</f>
        <v>8.7355422088185719</v>
      </c>
      <c r="E40" s="23">
        <f>AVERAGE(D23,F23,H23)</f>
        <v>7.6933333333333342</v>
      </c>
      <c r="F40" s="23">
        <f>STDEV(D23,F23,H23)</f>
        <v>0.2650157228040127</v>
      </c>
      <c r="G40" s="3"/>
      <c r="H40" s="3"/>
      <c r="I40" s="12" t="s">
        <v>94</v>
      </c>
      <c r="J40" s="59">
        <f>G115</f>
        <v>10263.618296099679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1568.7765202288301</v>
      </c>
      <c r="D41" s="23">
        <f>(STDEV(C28,E28,G28)/C41)*100</f>
        <v>10.007654214807559</v>
      </c>
      <c r="E41" s="23">
        <f>AVERAGE(D28,F28,H28)</f>
        <v>9.18</v>
      </c>
      <c r="F41" s="23">
        <f>STDEV(D28,F28,H28)</f>
        <v>0.51068581339214814</v>
      </c>
      <c r="G41" s="3"/>
      <c r="H41" s="3"/>
      <c r="I41" s="69" t="s">
        <v>35</v>
      </c>
      <c r="J41" s="62">
        <f>AVERAGE(E41:E42)</f>
        <v>10.215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1222.5230936862899</v>
      </c>
      <c r="D42" s="23">
        <f>(STDEV(C27,E27,G27)/C42)*100</f>
        <v>10.917561664617239</v>
      </c>
      <c r="E42" s="23">
        <f>AVERAGE(D27,F27,H27)</f>
        <v>11.25</v>
      </c>
      <c r="F42" s="23">
        <f>STDEV(D27,F27,H27)</f>
        <v>0.40779897008207416</v>
      </c>
      <c r="G42" s="3"/>
      <c r="H42" s="3"/>
      <c r="I42" s="32" t="s">
        <v>105</v>
      </c>
      <c r="J42" s="70">
        <f>(COS(RADIANS(J41)))^2</f>
        <v>0.96854967456122942</v>
      </c>
      <c r="K42" s="3"/>
      <c r="L42" s="3"/>
      <c r="M42" s="38" t="s">
        <v>78</v>
      </c>
      <c r="N42" s="39">
        <f>N43</f>
        <v>0.65029155156305152</v>
      </c>
      <c r="O42" s="39">
        <f>O43*-1</f>
        <v>-1.7826620069374752</v>
      </c>
      <c r="P42" s="39">
        <f>P43*-1</f>
        <v>-0.35029217439254395</v>
      </c>
      <c r="Q42" s="40">
        <f>Q43*200000</f>
        <v>246462.57220671308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913.49601989965004</v>
      </c>
      <c r="D43" s="23">
        <f>(STDEV(C26,E26,G26)/C43)*100</f>
        <v>11.69809685783177</v>
      </c>
      <c r="E43" s="23">
        <f>AVERAGE(D26,F26,H26)</f>
        <v>13.816666666666668</v>
      </c>
      <c r="F43" s="23">
        <f>STDEV(D26,F26,H26)</f>
        <v>0.34588051886935406</v>
      </c>
      <c r="G43" s="3"/>
      <c r="H43" s="3"/>
      <c r="I43" s="32" t="s">
        <v>106</v>
      </c>
      <c r="J43" s="70">
        <f>SIN(RADIANS(J41))</f>
        <v>0.17734239605568261</v>
      </c>
      <c r="K43" s="3"/>
      <c r="L43" s="3"/>
      <c r="M43" s="38" t="s">
        <v>80</v>
      </c>
      <c r="N43" s="39">
        <v>0.65029155156305152</v>
      </c>
      <c r="O43" s="39">
        <v>1.7826620069374752</v>
      </c>
      <c r="P43" s="39">
        <v>0.35029217439254395</v>
      </c>
      <c r="Q43" s="41">
        <v>1.2323128610335654</v>
      </c>
      <c r="R43" s="4" t="s">
        <v>81</v>
      </c>
    </row>
    <row r="44" spans="1:23" s="4" customFormat="1" ht="18" x14ac:dyDescent="0.35">
      <c r="A44" s="72">
        <f>A30</f>
        <v>40</v>
      </c>
      <c r="B44" s="23">
        <f>B32</f>
        <v>10</v>
      </c>
      <c r="C44" s="23">
        <f>AVERAGE(C32,E32,G32)</f>
        <v>663.69268913375993</v>
      </c>
      <c r="D44" s="23">
        <f>(STDEV(C32,E32,G32)/C44)*100</f>
        <v>12.009213880609398</v>
      </c>
      <c r="E44" s="23">
        <f>AVERAGE(D32,F32,H32)</f>
        <v>17.523333333333333</v>
      </c>
      <c r="F44" s="23">
        <f>STDEV(D32,F32,H32)</f>
        <v>0.44275651698572732</v>
      </c>
      <c r="G44" s="3"/>
      <c r="H44" s="3"/>
      <c r="I44" s="12" t="s">
        <v>107</v>
      </c>
      <c r="J44" s="59">
        <f>(J40*J42)/J43</f>
        <v>56054.414407408636</v>
      </c>
      <c r="K44" s="3"/>
      <c r="L44" s="3"/>
    </row>
    <row r="45" spans="1:23" s="4" customFormat="1" x14ac:dyDescent="0.25">
      <c r="A45" s="72">
        <f>A31</f>
        <v>40</v>
      </c>
      <c r="B45" s="23">
        <f>B31</f>
        <v>1</v>
      </c>
      <c r="C45" s="23">
        <f>AVERAGE(C31,E31,G31)</f>
        <v>415.43642757331003</v>
      </c>
      <c r="D45" s="23">
        <f>(STDEV(C31,E31,G31)/C45)*100</f>
        <v>12.742324496312275</v>
      </c>
      <c r="E45" s="23">
        <f>AVERAGE(D31,F31,H31)</f>
        <v>21.393333333333331</v>
      </c>
      <c r="F45" s="23">
        <f>STDEV(D31,F31,H31)</f>
        <v>0.23713568549109942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72">
        <f>A32</f>
        <v>40</v>
      </c>
      <c r="B46" s="23">
        <f>B30</f>
        <v>0.1</v>
      </c>
      <c r="C46" s="23">
        <f>AVERAGE(C30,E30,G30)</f>
        <v>247.86949425908998</v>
      </c>
      <c r="D46" s="23">
        <f>(STDEV(C30,E30,G30)/C46)*100</f>
        <v>14.454317747431691</v>
      </c>
      <c r="E46" s="23">
        <f>AVERAGE(D30,F30,H30)</f>
        <v>25.046666666666667</v>
      </c>
      <c r="F46" s="23">
        <f>STDEV(D30,F30,H30)</f>
        <v>8.0829037686547492E-2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3.4760676843224898</v>
      </c>
      <c r="O46" s="44">
        <f t="shared" ref="O46" si="17">10^N46</f>
        <v>2992.7310141374787</v>
      </c>
    </row>
    <row r="47" spans="1:23" s="4" customFormat="1" x14ac:dyDescent="0.25">
      <c r="A47" s="72">
        <f>A29</f>
        <v>40</v>
      </c>
      <c r="B47" s="36">
        <f>B29</f>
        <v>0.01</v>
      </c>
      <c r="C47" s="23">
        <f>AVERAGE(C29,E29,G29)</f>
        <v>140.696275052234</v>
      </c>
      <c r="D47" s="23">
        <f>(STDEV(C29,E29,G29)/C47)*100</f>
        <v>19.099088105504062</v>
      </c>
      <c r="E47" s="23">
        <f>AVERAGE(D29,F29,H29)</f>
        <v>27.78</v>
      </c>
      <c r="F47" s="23">
        <f>STDEV(D29,F29,H29)</f>
        <v>0.40951190458886544</v>
      </c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3.464145216700917</v>
      </c>
      <c r="O47" s="44">
        <f>10^N47</f>
        <v>2911.6905483772257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3.4473932188146605</v>
      </c>
      <c r="O48" s="44">
        <f>10^N48</f>
        <v>2801.5167203153505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3.4239537038675896</v>
      </c>
      <c r="O49" s="44">
        <f t="shared" ref="O49:O62" si="18">10^N49</f>
        <v>2654.3225940230623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3.391348391301896</v>
      </c>
      <c r="O50" s="44">
        <f t="shared" si="18"/>
        <v>2462.3421044276452</v>
      </c>
    </row>
    <row r="51" spans="1:15" s="4" customFormat="1" x14ac:dyDescent="0.25">
      <c r="A51" s="24">
        <f>O23</f>
        <v>3198.1675629219671</v>
      </c>
      <c r="B51" s="45">
        <f>10^N42</f>
        <v>4.4698356147657012</v>
      </c>
      <c r="C51" s="46">
        <f>O42</f>
        <v>-1.7826620069374752</v>
      </c>
      <c r="D51" s="46">
        <f>P42</f>
        <v>-0.35029217439254395</v>
      </c>
      <c r="E51" s="47">
        <f>Q42</f>
        <v>246462.57220671308</v>
      </c>
      <c r="F51" s="48">
        <f>S23</f>
        <v>0.9993823756904453</v>
      </c>
      <c r="G51" s="45">
        <f>R23/Q38</f>
        <v>1.7573051948291351E-2</v>
      </c>
      <c r="H51" s="3"/>
      <c r="I51" s="3"/>
      <c r="J51" s="3"/>
      <c r="K51" s="3"/>
      <c r="L51" s="3"/>
      <c r="M51" s="43">
        <v>1000</v>
      </c>
      <c r="N51" s="21">
        <f t="shared" si="16"/>
        <v>3.3463604874488659</v>
      </c>
      <c r="O51" s="44">
        <f t="shared" si="18"/>
        <v>2220.0384048175315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3.2849790870957696</v>
      </c>
      <c r="O52" s="44">
        <f t="shared" si="18"/>
        <v>1927.4320978891908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3.2024985181755938</v>
      </c>
      <c r="O53" s="44">
        <f t="shared" si="18"/>
        <v>1594.0374418044867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3.0939095264744556</v>
      </c>
      <c r="O54" s="44">
        <f t="shared" si="18"/>
        <v>1241.3936698106615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2.9547331348494827</v>
      </c>
      <c r="O55" s="44">
        <f t="shared" si="18"/>
        <v>901.01731060324323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2.7823622829128554</v>
      </c>
      <c r="O56" s="44">
        <f t="shared" si="18"/>
        <v>605.84605306156038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2.5777153244502644</v>
      </c>
      <c r="O57" s="44">
        <f t="shared" si="18"/>
        <v>378.19460079374346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2.3465954444974351</v>
      </c>
      <c r="O58" s="44">
        <f t="shared" si="18"/>
        <v>222.12397896318356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2.0998613419805916</v>
      </c>
      <c r="O59" s="44">
        <f t="shared" si="18"/>
        <v>125.85235364576089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1.8517890067754301</v>
      </c>
      <c r="O60" s="44">
        <f t="shared" si="18"/>
        <v>71.086806881660252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1.6169621898923094</v>
      </c>
      <c r="O61" s="18">
        <f t="shared" si="18"/>
        <v>41.396363316697709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1.4070218419839611</v>
      </c>
      <c r="O62" s="18">
        <f t="shared" si="18"/>
        <v>25.52829688964384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N8-1 CA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5.0058178864077698</v>
      </c>
      <c r="E85" s="57">
        <f>10^(LOG(C85)+D85)</f>
        <v>2533715.7733362243</v>
      </c>
      <c r="F85" s="58">
        <f>10^($N$42+($P$23-$N$42)/(1+EXP($O$42+$P$42*(LOG10(C85)+$Q$42/19.147142*(1/(273.2+A85)-1/($M$23+273.2))))))</f>
        <v>2849.7953080119114</v>
      </c>
      <c r="G85" s="59">
        <f>F85*6.89476</f>
        <v>19648.654697868205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5.0058178864077698</v>
      </c>
      <c r="E86" s="57">
        <f t="shared" ref="E86:E115" si="20">10^(LOG(C86)+D86)</f>
        <v>1013486.3093344887</v>
      </c>
      <c r="F86" s="58">
        <f t="shared" ref="F86:F115" si="21">10^($N$42+($P$23-$N$42)/(1+EXP($O$42+$P$42*(LOG10(C86)+$Q$42/19.147142*(1/(273.2+A86)-1/($M$23+273.2))))))</f>
        <v>2802.0273855332034</v>
      </c>
      <c r="G86" s="59">
        <f t="shared" ref="G86:G115" si="22">F86*6.89476</f>
        <v>19319.30633667891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5.0058178864077698</v>
      </c>
      <c r="E87" s="57">
        <f t="shared" si="20"/>
        <v>506743.15466724429</v>
      </c>
      <c r="F87" s="58">
        <f t="shared" si="21"/>
        <v>2762.0290183085285</v>
      </c>
      <c r="G87" s="59">
        <f t="shared" si="22"/>
        <v>19043.527194272909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5.0058178864077698</v>
      </c>
      <c r="E88" s="57">
        <f t="shared" si="20"/>
        <v>101348.63093344893</v>
      </c>
      <c r="F88" s="58">
        <f t="shared" si="21"/>
        <v>2654.9979581893122</v>
      </c>
      <c r="G88" s="59">
        <f t="shared" si="22"/>
        <v>18305.573722205343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5.0058178864077698</v>
      </c>
      <c r="E89" s="57">
        <f t="shared" si="20"/>
        <v>50674.31546672446</v>
      </c>
      <c r="F89" s="58">
        <f t="shared" si="21"/>
        <v>2602.2942226500672</v>
      </c>
      <c r="G89" s="59">
        <f t="shared" si="22"/>
        <v>17942.194114558777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5.0058178864077698</v>
      </c>
      <c r="E90" s="57">
        <f t="shared" si="20"/>
        <v>10134.863093344882</v>
      </c>
      <c r="F90" s="58">
        <f t="shared" si="21"/>
        <v>2463.2107046440942</v>
      </c>
      <c r="G90" s="59">
        <f t="shared" si="22"/>
        <v>16983.246637951914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2.4605484520203111</v>
      </c>
      <c r="E91" s="57">
        <f t="shared" si="20"/>
        <v>7219.1898112334056</v>
      </c>
      <c r="F91" s="58">
        <f t="shared" si="21"/>
        <v>2430.9941873067778</v>
      </c>
      <c r="G91" s="59">
        <f t="shared" si="22"/>
        <v>16761.121482875278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2.4605484520203111</v>
      </c>
      <c r="E92" s="57">
        <f t="shared" si="20"/>
        <v>2887.6759244933646</v>
      </c>
      <c r="F92" s="58">
        <f t="shared" si="21"/>
        <v>2337.8462037475251</v>
      </c>
      <c r="G92" s="59">
        <f t="shared" si="22"/>
        <v>16118.888491750286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2.4605484520203111</v>
      </c>
      <c r="E93" s="57">
        <f t="shared" si="20"/>
        <v>1443.8379622466823</v>
      </c>
      <c r="F93" s="58">
        <f t="shared" si="21"/>
        <v>2261.9318909344565</v>
      </c>
      <c r="G93" s="59">
        <f t="shared" si="22"/>
        <v>15595.477524339252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2.4605484520203111</v>
      </c>
      <c r="E94" s="57">
        <f t="shared" si="20"/>
        <v>288.76759244933641</v>
      </c>
      <c r="F94" s="58">
        <f t="shared" si="21"/>
        <v>2067.8441213594547</v>
      </c>
      <c r="G94" s="59">
        <f t="shared" si="22"/>
        <v>14257.288934184313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2.4605484520203111</v>
      </c>
      <c r="E95" s="57">
        <f t="shared" si="20"/>
        <v>144.3837962246682</v>
      </c>
      <c r="F95" s="58">
        <f t="shared" si="21"/>
        <v>1976.9603727897179</v>
      </c>
      <c r="G95" s="59">
        <f t="shared" si="22"/>
        <v>13630.667299895635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2.4605484520203111</v>
      </c>
      <c r="E96" s="57">
        <f t="shared" si="20"/>
        <v>28.876759244933634</v>
      </c>
      <c r="F96" s="58">
        <f t="shared" si="21"/>
        <v>1751.2720487856498</v>
      </c>
      <c r="G96" s="59">
        <f t="shared" si="22"/>
        <v>12074.600471085347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-0.16579895366400157</v>
      </c>
      <c r="E97" s="57">
        <f t="shared" si="20"/>
        <v>17.066365994757085</v>
      </c>
      <c r="F97" s="58">
        <f t="shared" si="21"/>
        <v>1674.1527098483848</v>
      </c>
      <c r="G97" s="59">
        <f t="shared" si="22"/>
        <v>11542.88113775425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-0.16579895366400157</v>
      </c>
      <c r="E98" s="57">
        <f t="shared" si="20"/>
        <v>6.8265463979028329</v>
      </c>
      <c r="F98" s="58">
        <f t="shared" si="21"/>
        <v>1536.1672659100527</v>
      </c>
      <c r="G98" s="59">
        <f t="shared" si="22"/>
        <v>10591.504618305995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-0.16579895366400157</v>
      </c>
      <c r="E99" s="57">
        <f t="shared" si="20"/>
        <v>3.4132731989514169</v>
      </c>
      <c r="F99" s="58">
        <f t="shared" si="21"/>
        <v>1430.0764481261838</v>
      </c>
      <c r="G99" s="59">
        <f t="shared" si="22"/>
        <v>9860.0338914824861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-0.16579895366400157</v>
      </c>
      <c r="E100" s="57">
        <f t="shared" si="20"/>
        <v>0.68265463979028318</v>
      </c>
      <c r="F100" s="58">
        <f t="shared" si="21"/>
        <v>1183.2005317365783</v>
      </c>
      <c r="G100" s="59">
        <f t="shared" si="22"/>
        <v>8157.8836981960903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-0.16579895366400157</v>
      </c>
      <c r="E101" s="57">
        <f t="shared" si="20"/>
        <v>0.34132731989514153</v>
      </c>
      <c r="F101" s="58">
        <f t="shared" si="21"/>
        <v>1078.8799874311201</v>
      </c>
      <c r="G101" s="59">
        <f t="shared" si="22"/>
        <v>7438.6185821405888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-0.16579895366400157</v>
      </c>
      <c r="E102" s="57">
        <f t="shared" si="20"/>
        <v>6.8265463979028301E-2</v>
      </c>
      <c r="F102" s="58">
        <f t="shared" si="21"/>
        <v>848.1772000909566</v>
      </c>
      <c r="G102" s="59">
        <f t="shared" si="22"/>
        <v>5847.9782320991235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-2.5105860750003002</v>
      </c>
      <c r="E103" s="57">
        <f t="shared" si="20"/>
        <v>7.7153198247562282E-2</v>
      </c>
      <c r="F103" s="58">
        <f t="shared" si="21"/>
        <v>865.22255064888941</v>
      </c>
      <c r="G103" s="59">
        <f t="shared" si="22"/>
        <v>5965.5018333119369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-2.5105860750003002</v>
      </c>
      <c r="E104" s="57">
        <f t="shared" si="20"/>
        <v>3.0861279299024911E-2</v>
      </c>
      <c r="F104" s="58">
        <f t="shared" si="21"/>
        <v>743.11915983326548</v>
      </c>
      <c r="G104" s="59">
        <f t="shared" si="22"/>
        <v>5123.628258452005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-2.5105860750003002</v>
      </c>
      <c r="E105" s="57">
        <f t="shared" si="20"/>
        <v>1.5430639649512455E-2</v>
      </c>
      <c r="F105" s="58">
        <f t="shared" si="21"/>
        <v>656.96541645863886</v>
      </c>
      <c r="G105" s="59">
        <f t="shared" si="22"/>
        <v>4529.6188747823644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-2.5105860750003002</v>
      </c>
      <c r="E106" s="57">
        <f t="shared" si="20"/>
        <v>3.0861279299024911E-3</v>
      </c>
      <c r="F106" s="58">
        <f t="shared" si="21"/>
        <v>480.65692019989007</v>
      </c>
      <c r="G106" s="59">
        <f t="shared" si="22"/>
        <v>3314.0141071173939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-2.5105860750003002</v>
      </c>
      <c r="E107" s="57">
        <f t="shared" si="20"/>
        <v>1.5430639649512451E-3</v>
      </c>
      <c r="F107" s="58">
        <f t="shared" si="21"/>
        <v>415.64081719830216</v>
      </c>
      <c r="G107" s="59">
        <f t="shared" si="22"/>
        <v>2865.7436807861659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-2.5105860750003002</v>
      </c>
      <c r="E108" s="57">
        <f t="shared" si="20"/>
        <v>3.0861279299024898E-4</v>
      </c>
      <c r="F108" s="58">
        <f t="shared" si="21"/>
        <v>290.15798308861707</v>
      </c>
      <c r="G108" s="59">
        <f t="shared" si="22"/>
        <v>2000.5696554800734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-4.6167868221269979</v>
      </c>
      <c r="E109" s="57">
        <f t="shared" si="20"/>
        <v>6.0416169476446826E-4</v>
      </c>
      <c r="F109" s="58">
        <f t="shared" si="21"/>
        <v>338.39964421215137</v>
      </c>
      <c r="G109" s="59">
        <f t="shared" si="22"/>
        <v>2333.1843309281726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-4.6167868221269979</v>
      </c>
      <c r="E110" s="57">
        <f t="shared" si="20"/>
        <v>2.4166467790578749E-4</v>
      </c>
      <c r="F110" s="58">
        <f t="shared" si="21"/>
        <v>274.1896344747895</v>
      </c>
      <c r="G110" s="59">
        <f t="shared" si="22"/>
        <v>1890.4717241913995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-4.6167868221269979</v>
      </c>
      <c r="E111" s="57">
        <f t="shared" si="20"/>
        <v>1.2083233895289354E-4</v>
      </c>
      <c r="F111" s="58">
        <f t="shared" si="21"/>
        <v>232.65543217344859</v>
      </c>
      <c r="G111" s="59">
        <f t="shared" si="22"/>
        <v>1604.1033675322064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-4.6167868221269979</v>
      </c>
      <c r="E112" s="57">
        <f t="shared" si="20"/>
        <v>2.4166467790578723E-5</v>
      </c>
      <c r="F112" s="58">
        <f t="shared" si="21"/>
        <v>156.95073105689167</v>
      </c>
      <c r="G112" s="59">
        <f t="shared" si="22"/>
        <v>1082.1376224618143</v>
      </c>
    </row>
    <row r="113" spans="1:7" x14ac:dyDescent="0.25">
      <c r="A113" s="23">
        <v>54.444444444444443</v>
      </c>
      <c r="B113" s="8">
        <v>130</v>
      </c>
      <c r="C113" s="8">
        <v>0.5</v>
      </c>
      <c r="D113" s="56">
        <f t="shared" si="19"/>
        <v>-4.6167868221269979</v>
      </c>
      <c r="E113" s="57">
        <f t="shared" si="20"/>
        <v>1.2083233895289361E-5</v>
      </c>
      <c r="F113" s="58">
        <f t="shared" si="21"/>
        <v>132.05891506488351</v>
      </c>
      <c r="G113" s="59">
        <f t="shared" si="22"/>
        <v>910.51452523275623</v>
      </c>
    </row>
    <row r="114" spans="1:7" x14ac:dyDescent="0.25">
      <c r="A114" s="23">
        <v>54.444444444444443</v>
      </c>
      <c r="B114" s="8">
        <v>130</v>
      </c>
      <c r="C114" s="8">
        <v>0.1</v>
      </c>
      <c r="D114" s="56">
        <f t="shared" si="19"/>
        <v>-4.6167868221269979</v>
      </c>
      <c r="E114" s="57">
        <f t="shared" si="20"/>
        <v>2.4166467790578742E-6</v>
      </c>
      <c r="F114" s="58">
        <f t="shared" si="21"/>
        <v>88.39318946328379</v>
      </c>
      <c r="G114" s="59">
        <f t="shared" si="22"/>
        <v>609.44982698387048</v>
      </c>
    </row>
    <row r="115" spans="1:7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1488.6113941746601</v>
      </c>
      <c r="G115" s="67">
        <f t="shared" si="22"/>
        <v>10263.618296099679</v>
      </c>
    </row>
  </sheetData>
  <mergeCells count="16">
    <mergeCell ref="B53:D53"/>
    <mergeCell ref="B81:D81"/>
    <mergeCell ref="I37:J37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4888-7A24-4CDB-8A14-B3BC6E4B9C83}">
  <dimension ref="A1:CJ115"/>
  <sheetViews>
    <sheetView view="pageBreakPreview" topLeftCell="A16" zoomScale="80" zoomScaleNormal="70" zoomScaleSheetLayoutView="80" workbookViewId="0">
      <selection activeCell="C23" sqref="C23:H32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8.5703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129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2.6539999999999999</v>
      </c>
      <c r="F14" s="8" t="s">
        <v>14</v>
      </c>
      <c r="G14" s="60" t="s">
        <v>110</v>
      </c>
      <c r="H14" s="16">
        <v>6.8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5.76</v>
      </c>
      <c r="F15" s="8" t="s">
        <v>24</v>
      </c>
      <c r="G15" s="60" t="s">
        <v>111</v>
      </c>
      <c r="H15" s="16">
        <v>7.1</v>
      </c>
      <c r="M15" s="4" t="str">
        <f t="shared" ref="M15:N17" si="0">G14</f>
        <v>1B</v>
      </c>
      <c r="N15" s="18">
        <f t="shared" si="0"/>
        <v>6.8</v>
      </c>
      <c r="O15" s="4">
        <f>$B$14</f>
        <v>2.6539999999999999</v>
      </c>
      <c r="P15" s="20">
        <f>$B$15</f>
        <v>5.76</v>
      </c>
      <c r="Q15" s="21">
        <f>$B$16</f>
        <v>2.472</v>
      </c>
      <c r="R15" s="21">
        <f t="shared" ref="R15:R17" si="1">((Q15*(N15-100))/-100)</f>
        <v>2.3039040000000002</v>
      </c>
      <c r="S15" s="18">
        <f t="shared" ref="S15:S17" si="2">100-((R15*(100-P15))/O15)</f>
        <v>18.191441989449885</v>
      </c>
      <c r="T15" s="18">
        <f t="shared" ref="T15:T17" si="3">100*((S15-N15)/S15)</f>
        <v>62.619785699541261</v>
      </c>
      <c r="U15" s="18"/>
      <c r="W15" s="18"/>
    </row>
    <row r="16" spans="1:23" x14ac:dyDescent="0.25">
      <c r="A16" s="8" t="s">
        <v>25</v>
      </c>
      <c r="B16" s="22">
        <v>2.472</v>
      </c>
      <c r="F16" s="8" t="s">
        <v>26</v>
      </c>
      <c r="G16" s="60" t="s">
        <v>128</v>
      </c>
      <c r="H16" s="16">
        <v>7.4</v>
      </c>
      <c r="M16" s="4" t="str">
        <f t="shared" si="0"/>
        <v>2C</v>
      </c>
      <c r="N16" s="18">
        <f t="shared" si="0"/>
        <v>7.1</v>
      </c>
      <c r="O16" s="4">
        <f t="shared" ref="O16:O17" si="4">$B$14</f>
        <v>2.6539999999999999</v>
      </c>
      <c r="P16" s="20">
        <f t="shared" ref="P16:P17" si="5">$B$15</f>
        <v>5.76</v>
      </c>
      <c r="Q16" s="21">
        <f t="shared" ref="Q16:Q17" si="6">$B$16</f>
        <v>2.472</v>
      </c>
      <c r="R16" s="21">
        <f t="shared" si="1"/>
        <v>2.2964880000000001</v>
      </c>
      <c r="S16" s="18">
        <f t="shared" si="2"/>
        <v>18.454774257724196</v>
      </c>
      <c r="T16" s="18">
        <f t="shared" si="3"/>
        <v>61.527570585002877</v>
      </c>
      <c r="U16" s="18"/>
    </row>
    <row r="17" spans="1:88" x14ac:dyDescent="0.25">
      <c r="A17" s="8" t="s">
        <v>21</v>
      </c>
      <c r="B17" s="23">
        <f>AVERAGE(S15:S17)</f>
        <v>18.454774257724193</v>
      </c>
      <c r="M17" s="4" t="str">
        <f t="shared" si="0"/>
        <v>3B</v>
      </c>
      <c r="N17" s="18">
        <f t="shared" si="0"/>
        <v>7.4</v>
      </c>
      <c r="O17" s="4">
        <f t="shared" si="4"/>
        <v>2.6539999999999999</v>
      </c>
      <c r="P17" s="20">
        <f t="shared" si="5"/>
        <v>5.76</v>
      </c>
      <c r="Q17" s="21">
        <f t="shared" si="6"/>
        <v>2.472</v>
      </c>
      <c r="R17" s="21">
        <f t="shared" si="1"/>
        <v>2.289072</v>
      </c>
      <c r="S17" s="18">
        <f t="shared" si="2"/>
        <v>18.718106525998493</v>
      </c>
      <c r="T17" s="18">
        <f t="shared" si="3"/>
        <v>60.466086728795041</v>
      </c>
    </row>
    <row r="18" spans="1:88" x14ac:dyDescent="0.25">
      <c r="A18" s="8" t="s">
        <v>22</v>
      </c>
      <c r="B18" s="23">
        <f>AVERAGE(T15:T17)</f>
        <v>61.537814337779729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806.26478559759005</v>
      </c>
      <c r="D23" s="16">
        <v>16.68</v>
      </c>
      <c r="E23" s="16">
        <v>720.83755790969997</v>
      </c>
      <c r="F23" s="16">
        <v>18.02</v>
      </c>
      <c r="G23" s="16">
        <v>819.60825749450999</v>
      </c>
      <c r="H23" s="16">
        <v>16.8</v>
      </c>
      <c r="M23" s="4">
        <v>20</v>
      </c>
      <c r="N23" s="29">
        <f>(20+(B18*3*145000)/(B17))^0.58/(650+((B18*3*145000)/B17)^0.58)</f>
        <v>0.85217857842504352</v>
      </c>
      <c r="O23" s="18">
        <f>(N23*(4200000*(1-B17/100)+3*145000*(B17*B18)/10000)+(1-N23)/((1-B17/100)/4200000+B17/(3*B18*145000)))/1000</f>
        <v>3128.0259854861065</v>
      </c>
      <c r="P23" s="29">
        <f>LOG10(O23)</f>
        <v>3.4952703522223212</v>
      </c>
      <c r="R23" s="30">
        <f>(1/6*T38)^0.5</f>
        <v>3.2087358038030971E-2</v>
      </c>
      <c r="S23" s="30">
        <f>1-R23^2/Q38^2*12/6</f>
        <v>0.99424438237550017</v>
      </c>
      <c r="T23" s="30">
        <f>(1-8*R23^2/9*Q38^2)</f>
        <v>0.9996725678042494</v>
      </c>
    </row>
    <row r="24" spans="1:88" x14ac:dyDescent="0.25">
      <c r="A24" s="8">
        <v>4</v>
      </c>
      <c r="B24" s="23">
        <v>1</v>
      </c>
      <c r="C24" s="16">
        <v>1135.2103754042701</v>
      </c>
      <c r="D24" s="16">
        <v>13.68</v>
      </c>
      <c r="E24" s="16">
        <v>1050.65337414444</v>
      </c>
      <c r="F24" s="16">
        <v>14.66</v>
      </c>
      <c r="G24" s="16">
        <v>1160.1568663419901</v>
      </c>
      <c r="H24" s="16">
        <v>13.91</v>
      </c>
    </row>
    <row r="25" spans="1:88" x14ac:dyDescent="0.25">
      <c r="A25" s="8">
        <v>4</v>
      </c>
      <c r="B25" s="23">
        <v>10</v>
      </c>
      <c r="C25" s="16">
        <v>1533.91911719376</v>
      </c>
      <c r="D25" s="16">
        <v>11.24</v>
      </c>
      <c r="E25" s="16">
        <v>1451.9727952181099</v>
      </c>
      <c r="F25" s="16">
        <v>12.04</v>
      </c>
      <c r="G25" s="16">
        <v>1565.9724572939699</v>
      </c>
      <c r="H25" s="16">
        <v>11.48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223.3581165354</v>
      </c>
      <c r="D26" s="16">
        <v>28.59</v>
      </c>
      <c r="E26" s="16">
        <v>177.67122906225001</v>
      </c>
      <c r="F26" s="16">
        <v>30.23</v>
      </c>
      <c r="G26" s="16">
        <v>204.93832380813001</v>
      </c>
      <c r="H26" s="16">
        <v>29.71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406.83085511805001</v>
      </c>
      <c r="D27" s="16">
        <v>24.74</v>
      </c>
      <c r="E27" s="16">
        <v>339.53334468141003</v>
      </c>
      <c r="F27" s="16">
        <v>26.57</v>
      </c>
      <c r="G27" s="16">
        <v>379.56376037217001</v>
      </c>
      <c r="H27" s="16">
        <v>25.88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690.81474614163005</v>
      </c>
      <c r="D28" s="16">
        <v>20.02</v>
      </c>
      <c r="E28" s="16">
        <v>601.18142405144999</v>
      </c>
      <c r="F28" s="16">
        <v>22.07</v>
      </c>
      <c r="G28" s="16">
        <v>657.60110413734003</v>
      </c>
      <c r="H28" s="16">
        <v>21.22</v>
      </c>
      <c r="I28" s="3"/>
      <c r="J28" s="3"/>
      <c r="K28" s="3"/>
      <c r="L28" s="3"/>
      <c r="M28" s="32">
        <f t="shared" ref="M28:N37" si="7">A23</f>
        <v>4</v>
      </c>
      <c r="N28" s="32">
        <f t="shared" si="7"/>
        <v>0.1</v>
      </c>
      <c r="O28" s="33">
        <f>C40</f>
        <v>782.2368670006</v>
      </c>
      <c r="P28" s="33">
        <f>E40</f>
        <v>17.166666666666668</v>
      </c>
      <c r="Q28" s="34">
        <f>LOG10(O28)</f>
        <v>2.8933382804957013</v>
      </c>
      <c r="R28" s="34">
        <f t="shared" ref="R28:R37" si="8">$N$42+($P$23-$N$42)/(1+EXP($O$42+$P$42*(LOG10(N28)+$Q$42/19.147142*(1/(273.2+M28)-1/($M$23+273.2)))))</f>
        <v>2.8484787729799752</v>
      </c>
      <c r="S28" s="34">
        <f>Q28-R28</f>
        <v>4.4859507515726094E-2</v>
      </c>
      <c r="T28" s="35">
        <f>S28^2</f>
        <v>2.012375414553486E-3</v>
      </c>
      <c r="U28" s="34">
        <f>$Q$42/19.147143*(1/(M28+273.15)-1/($M$23+273.15))</f>
        <v>2.0075139805864333</v>
      </c>
      <c r="V28" s="34">
        <f>LOG10(N28)+U28</f>
        <v>1.0075139805864333</v>
      </c>
      <c r="W28" s="34">
        <f>10^V28</f>
        <v>10.174521189530461</v>
      </c>
    </row>
    <row r="29" spans="1:88" s="4" customFormat="1" x14ac:dyDescent="0.25">
      <c r="A29" s="15">
        <v>40</v>
      </c>
      <c r="B29" s="36">
        <v>0.01</v>
      </c>
      <c r="C29" s="16">
        <v>27.658696638506999</v>
      </c>
      <c r="D29" s="16">
        <v>23.95</v>
      </c>
      <c r="E29" s="16">
        <v>21.799172022903001</v>
      </c>
      <c r="F29" s="16">
        <v>21.19</v>
      </c>
      <c r="G29" s="16">
        <v>28.964036280597</v>
      </c>
      <c r="H29" s="16">
        <v>18.670000000000002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1115.3402052969002</v>
      </c>
      <c r="P29" s="33">
        <f>E39</f>
        <v>14.083333333333334</v>
      </c>
      <c r="Q29" s="34">
        <f t="shared" ref="Q29:Q37" si="9">LOG10(O29)</f>
        <v>3.0474073577405414</v>
      </c>
      <c r="R29" s="34">
        <f t="shared" si="8"/>
        <v>3.0409167131283974</v>
      </c>
      <c r="S29" s="34">
        <f t="shared" ref="S29:S37" si="10">Q29-R29</f>
        <v>6.490644612143992E-3</v>
      </c>
      <c r="T29" s="35">
        <f t="shared" ref="T29:T37" si="11">S29^2</f>
        <v>4.2128467481153831E-5</v>
      </c>
      <c r="U29" s="34">
        <f t="shared" ref="U29:U37" si="12">$Q$42/19.147143*(1/(M29+273.15)-1/($M$23+273.15))</f>
        <v>2.0075139805864333</v>
      </c>
      <c r="V29" s="34">
        <f t="shared" ref="V29:V37" si="13">LOG10(N29)+U29</f>
        <v>2.0075139805864333</v>
      </c>
      <c r="W29" s="34">
        <f t="shared" ref="W29:W37" si="14">10^V29</f>
        <v>101.74521189530462</v>
      </c>
    </row>
    <row r="30" spans="1:88" s="4" customFormat="1" x14ac:dyDescent="0.25">
      <c r="A30" s="15">
        <v>40</v>
      </c>
      <c r="B30" s="23">
        <v>0.1</v>
      </c>
      <c r="C30" s="16">
        <v>47.122761079448999</v>
      </c>
      <c r="D30" s="16">
        <v>27.95</v>
      </c>
      <c r="E30" s="16">
        <v>37.41973640658</v>
      </c>
      <c r="F30" s="16">
        <v>26.67</v>
      </c>
      <c r="G30" s="16">
        <v>50.371606410873</v>
      </c>
      <c r="H30" s="16">
        <v>24.67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1517.28812323528</v>
      </c>
      <c r="P30" s="33">
        <f>E38</f>
        <v>11.586666666666668</v>
      </c>
      <c r="Q30" s="34">
        <f t="shared" si="9"/>
        <v>3.181068058340927</v>
      </c>
      <c r="R30" s="34">
        <f t="shared" si="8"/>
        <v>3.1844923032736672</v>
      </c>
      <c r="S30" s="34">
        <f t="shared" si="10"/>
        <v>-3.4242449327401836E-3</v>
      </c>
      <c r="T30" s="35">
        <f t="shared" si="11"/>
        <v>1.1725453359396824E-5</v>
      </c>
      <c r="U30" s="34">
        <f t="shared" si="12"/>
        <v>2.0075139805864333</v>
      </c>
      <c r="V30" s="34">
        <f t="shared" si="13"/>
        <v>3.0075139805864333</v>
      </c>
      <c r="W30" s="34">
        <f t="shared" si="14"/>
        <v>1017.4521189530465</v>
      </c>
    </row>
    <row r="31" spans="1:88" s="4" customFormat="1" x14ac:dyDescent="0.25">
      <c r="A31" s="15">
        <v>40</v>
      </c>
      <c r="B31" s="23">
        <v>1</v>
      </c>
      <c r="C31" s="16">
        <v>93.433310826042003</v>
      </c>
      <c r="D31" s="16">
        <v>29.83</v>
      </c>
      <c r="E31" s="16">
        <v>75.448631312802007</v>
      </c>
      <c r="F31" s="16">
        <v>29.49</v>
      </c>
      <c r="G31" s="16">
        <v>97.088261823894001</v>
      </c>
      <c r="H31" s="16">
        <v>27.76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201.98922313526</v>
      </c>
      <c r="P31" s="33">
        <f>E43</f>
        <v>29.51</v>
      </c>
      <c r="Q31" s="34">
        <f t="shared" si="9"/>
        <v>2.3053281988637373</v>
      </c>
      <c r="R31" s="34">
        <f t="shared" si="8"/>
        <v>2.3205993875822624</v>
      </c>
      <c r="S31" s="34">
        <f t="shared" si="10"/>
        <v>-1.5271188718525064E-2</v>
      </c>
      <c r="T31" s="35">
        <f t="shared" si="11"/>
        <v>2.3320920487680718E-4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15">
        <v>40</v>
      </c>
      <c r="B32" s="23">
        <v>10</v>
      </c>
      <c r="C32" s="16">
        <v>207.98411630634001</v>
      </c>
      <c r="D32" s="16">
        <v>28.62</v>
      </c>
      <c r="E32" s="16">
        <v>174.33536108801999</v>
      </c>
      <c r="F32" s="16">
        <v>28.44</v>
      </c>
      <c r="G32" s="16">
        <v>210.44975785251</v>
      </c>
      <c r="H32" s="16">
        <v>27.38</v>
      </c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375.30932005721002</v>
      </c>
      <c r="P32" s="33">
        <f>E42</f>
        <v>25.73</v>
      </c>
      <c r="Q32" s="34">
        <f t="shared" si="9"/>
        <v>2.5743893493828645</v>
      </c>
      <c r="R32" s="34">
        <f t="shared" si="8"/>
        <v>2.6040732932106589</v>
      </c>
      <c r="S32" s="34">
        <f t="shared" si="10"/>
        <v>-2.968394382779449E-2</v>
      </c>
      <c r="T32" s="35">
        <f t="shared" si="11"/>
        <v>8.8113652117165859E-4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649.86575811014006</v>
      </c>
      <c r="P33" s="33">
        <f>E41</f>
        <v>21.103333333333335</v>
      </c>
      <c r="Q33" s="34">
        <f t="shared" si="9"/>
        <v>2.8128236542842084</v>
      </c>
      <c r="R33" s="34">
        <f t="shared" si="8"/>
        <v>2.8469925468880271</v>
      </c>
      <c r="S33" s="34">
        <f t="shared" si="10"/>
        <v>-3.4168892603818612E-2</v>
      </c>
      <c r="T33" s="35">
        <f t="shared" si="11"/>
        <v>1.1675132217712904E-3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0.01</v>
      </c>
      <c r="O34" s="33">
        <f>C47</f>
        <v>26.140634980669002</v>
      </c>
      <c r="P34" s="33">
        <f>E47</f>
        <v>21.27</v>
      </c>
      <c r="Q34" s="34">
        <f t="shared" si="9"/>
        <v>1.4173161327950723</v>
      </c>
      <c r="R34" s="34">
        <f t="shared" si="8"/>
        <v>1.4127720160358423</v>
      </c>
      <c r="S34" s="34">
        <f t="shared" si="10"/>
        <v>4.5441167592299436E-3</v>
      </c>
      <c r="T34" s="35">
        <f t="shared" si="11"/>
        <v>2.0648997121514445E-5</v>
      </c>
      <c r="U34" s="34">
        <f t="shared" si="12"/>
        <v>-2.2209105050276663</v>
      </c>
      <c r="V34" s="34">
        <f t="shared" si="13"/>
        <v>-4.2209105050276658</v>
      </c>
      <c r="W34" s="34">
        <f t="shared" si="14"/>
        <v>6.0129763399385569E-5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0.1</v>
      </c>
      <c r="O35" s="33">
        <f>C46</f>
        <v>44.971367965633995</v>
      </c>
      <c r="P35" s="33">
        <f>E46</f>
        <v>26.430000000000003</v>
      </c>
      <c r="Q35" s="34">
        <f t="shared" si="9"/>
        <v>1.6529360983949453</v>
      </c>
      <c r="R35" s="34">
        <f t="shared" si="8"/>
        <v>1.6632398252765643</v>
      </c>
      <c r="S35" s="34">
        <f t="shared" si="10"/>
        <v>-1.0303726881619069E-2</v>
      </c>
      <c r="T35" s="35">
        <f t="shared" si="11"/>
        <v>1.0616678765099941E-4</v>
      </c>
      <c r="U35" s="34">
        <f t="shared" si="12"/>
        <v>-2.2209105050276663</v>
      </c>
      <c r="V35" s="34">
        <f t="shared" si="13"/>
        <v>-3.2209105050276663</v>
      </c>
      <c r="W35" s="34">
        <f t="shared" si="14"/>
        <v>6.0129763399385469E-4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</v>
      </c>
      <c r="O36" s="33">
        <f>C45</f>
        <v>88.656734654246009</v>
      </c>
      <c r="P36" s="33">
        <f>E45</f>
        <v>29.026666666666667</v>
      </c>
      <c r="Q36" s="34">
        <f t="shared" si="9"/>
        <v>1.9477117316130135</v>
      </c>
      <c r="R36" s="34">
        <f t="shared" si="8"/>
        <v>1.9515387264917248</v>
      </c>
      <c r="S36" s="34">
        <f t="shared" si="10"/>
        <v>-3.8269948787112984E-3</v>
      </c>
      <c r="T36" s="35">
        <f t="shared" si="11"/>
        <v>1.4645889801682505E-5</v>
      </c>
      <c r="U36" s="34">
        <f t="shared" si="12"/>
        <v>-2.2209105050276663</v>
      </c>
      <c r="V36" s="34">
        <f t="shared" si="13"/>
        <v>-2.2209105050276663</v>
      </c>
      <c r="W36" s="34">
        <f t="shared" si="14"/>
        <v>6.0129763399385484E-3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M37" s="32">
        <f t="shared" si="7"/>
        <v>40</v>
      </c>
      <c r="N37" s="32">
        <f t="shared" si="7"/>
        <v>10</v>
      </c>
      <c r="O37" s="33">
        <f>C44</f>
        <v>197.58974508229002</v>
      </c>
      <c r="P37" s="33">
        <f>E44</f>
        <v>28.146666666666665</v>
      </c>
      <c r="Q37" s="34">
        <f t="shared" si="9"/>
        <v>2.2957644009310414</v>
      </c>
      <c r="R37" s="34">
        <f t="shared" si="8"/>
        <v>2.2546786209411622</v>
      </c>
      <c r="S37" s="34">
        <f t="shared" si="10"/>
        <v>4.1085779989879168E-2</v>
      </c>
      <c r="T37" s="35">
        <f t="shared" si="11"/>
        <v>1.6880413173767555E-3</v>
      </c>
      <c r="U37" s="34">
        <f t="shared" si="12"/>
        <v>-2.2209105050276663</v>
      </c>
      <c r="V37" s="34">
        <f t="shared" si="13"/>
        <v>-1.2209105050276663</v>
      </c>
      <c r="W37" s="34">
        <f t="shared" si="14"/>
        <v>6.012976339938552E-2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1517.28812323528</v>
      </c>
      <c r="D38" s="23">
        <f>(STDEV(C25,E25,G25)/C38)*100</f>
        <v>3.8747652655241001</v>
      </c>
      <c r="E38" s="23">
        <f>AVERAGE(D25,F25,H25)</f>
        <v>11.586666666666668</v>
      </c>
      <c r="F38" s="23">
        <f>STDEV(D25,F25,H25)</f>
        <v>0.41052811515575011</v>
      </c>
      <c r="G38" s="3"/>
      <c r="H38" s="3"/>
      <c r="I38" s="26" t="s">
        <v>32</v>
      </c>
      <c r="J38" s="8">
        <v>20</v>
      </c>
      <c r="K38" s="3"/>
      <c r="L38" s="3"/>
      <c r="P38" s="32" t="s">
        <v>68</v>
      </c>
      <c r="Q38" s="35">
        <f>STDEV(Q28:Q37)</f>
        <v>0.59814019945369823</v>
      </c>
      <c r="S38" s="32" t="s">
        <v>69</v>
      </c>
      <c r="T38" s="35">
        <f>SUM(T28:T37)</f>
        <v>6.1775912751647448E-3</v>
      </c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1115.3402052969002</v>
      </c>
      <c r="D39" s="23">
        <f>(STDEV(C24,E24,G24)/C39)*100</f>
        <v>5.1457177987080982</v>
      </c>
      <c r="E39" s="23">
        <f>AVERAGE(D24,F24,H24)</f>
        <v>14.083333333333334</v>
      </c>
      <c r="F39" s="23">
        <f>STDEV(D24,F24,H24)</f>
        <v>0.51247764178872579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782.2368670006</v>
      </c>
      <c r="D40" s="23">
        <f>(STDEV(C23,E23,G23)/C40)*100</f>
        <v>6.8509022298841424</v>
      </c>
      <c r="E40" s="23">
        <f>AVERAGE(D23,F23,H23)</f>
        <v>17.166666666666668</v>
      </c>
      <c r="F40" s="23">
        <f>STDEV(D23,F23,H23)</f>
        <v>0.74144004028197241</v>
      </c>
      <c r="G40" s="3"/>
      <c r="H40" s="3"/>
      <c r="I40" s="12" t="s">
        <v>94</v>
      </c>
      <c r="J40" s="59">
        <f>G115</f>
        <v>4144.4187215201409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649.86575811014006</v>
      </c>
      <c r="D41" s="23">
        <f>(STDEV(C28,E28,G28)/C41)*100</f>
        <v>6.9729116084307723</v>
      </c>
      <c r="E41" s="23">
        <f>AVERAGE(D28,F28,H28)</f>
        <v>21.103333333333335</v>
      </c>
      <c r="F41" s="23">
        <f>STDEV(D28,F28,H28)</f>
        <v>1.0299676370320254</v>
      </c>
      <c r="G41" s="3"/>
      <c r="H41" s="3"/>
      <c r="I41" s="69" t="s">
        <v>35</v>
      </c>
      <c r="J41" s="62">
        <f>AVERAGE(E41:E42)</f>
        <v>23.416666666666668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375.30932005721002</v>
      </c>
      <c r="D42" s="23">
        <f>(STDEV(C27,E27,G27)/C42)*100</f>
        <v>9.0191933752217412</v>
      </c>
      <c r="E42" s="23">
        <f>AVERAGE(D27,F27,H27)</f>
        <v>25.73</v>
      </c>
      <c r="F42" s="23">
        <f>STDEV(D27,F27,H27)</f>
        <v>0.92417530804496262</v>
      </c>
      <c r="G42" s="3"/>
      <c r="H42" s="3"/>
      <c r="I42" s="32" t="s">
        <v>105</v>
      </c>
      <c r="J42" s="70">
        <f>(COS(RADIANS(J41)))^2</f>
        <v>0.8420614466745</v>
      </c>
      <c r="K42" s="3"/>
      <c r="L42" s="3"/>
      <c r="M42" s="38" t="s">
        <v>78</v>
      </c>
      <c r="N42" s="39">
        <f>N43</f>
        <v>0.72844123905394154</v>
      </c>
      <c r="O42" s="39">
        <f>O43*-1</f>
        <v>-0.74413540801504374</v>
      </c>
      <c r="P42" s="39">
        <f>P43*-1</f>
        <v>-0.44003306428566452</v>
      </c>
      <c r="Q42" s="40">
        <f>Q43*200000</f>
        <v>195185.41304669529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201.98922313526</v>
      </c>
      <c r="D43" s="23">
        <f>(STDEV(C26,E26,G26)/C43)*100</f>
        <v>11.379703279366238</v>
      </c>
      <c r="E43" s="23">
        <f>AVERAGE(D26,F26,H26)</f>
        <v>29.51</v>
      </c>
      <c r="F43" s="23">
        <f>STDEV(D26,F26,H26)</f>
        <v>0.83809307359027896</v>
      </c>
      <c r="G43" s="3"/>
      <c r="H43" s="3"/>
      <c r="I43" s="32" t="s">
        <v>106</v>
      </c>
      <c r="J43" s="70">
        <f>SIN(RADIANS(J41))</f>
        <v>0.39741483782755271</v>
      </c>
      <c r="K43" s="3"/>
      <c r="L43" s="3"/>
      <c r="M43" s="38" t="s">
        <v>80</v>
      </c>
      <c r="N43" s="39">
        <v>0.72844123905394154</v>
      </c>
      <c r="O43" s="39">
        <v>0.74413540801504374</v>
      </c>
      <c r="P43" s="39">
        <v>0.44003306428566452</v>
      </c>
      <c r="Q43" s="41">
        <v>0.9759270652334765</v>
      </c>
      <c r="R43" s="4" t="s">
        <v>81</v>
      </c>
    </row>
    <row r="44" spans="1:23" s="4" customFormat="1" ht="18" x14ac:dyDescent="0.35">
      <c r="A44" s="72">
        <f>A30</f>
        <v>40</v>
      </c>
      <c r="B44" s="23">
        <f>B32</f>
        <v>10</v>
      </c>
      <c r="C44" s="23">
        <f>AVERAGE(C32,E32,G32)</f>
        <v>197.58974508229002</v>
      </c>
      <c r="D44" s="23">
        <f>(STDEV(C32,E32,G32)/C44)*100</f>
        <v>10.211352887674408</v>
      </c>
      <c r="E44" s="23">
        <f>AVERAGE(D32,F32,H32)</f>
        <v>28.146666666666665</v>
      </c>
      <c r="F44" s="23">
        <f>STDEV(D32,F32,H32)</f>
        <v>0.67002487516012044</v>
      </c>
      <c r="G44" s="3"/>
      <c r="H44" s="3"/>
      <c r="I44" s="12" t="s">
        <v>107</v>
      </c>
      <c r="J44" s="59">
        <f>(J40*J42)/J43</f>
        <v>8781.3913626004542</v>
      </c>
      <c r="K44" s="3"/>
      <c r="L44" s="3"/>
    </row>
    <row r="45" spans="1:23" s="4" customFormat="1" x14ac:dyDescent="0.25">
      <c r="A45" s="72">
        <f>A31</f>
        <v>40</v>
      </c>
      <c r="B45" s="23">
        <f>B31</f>
        <v>1</v>
      </c>
      <c r="C45" s="23">
        <f>AVERAGE(C31,E31,G31)</f>
        <v>88.656734654246009</v>
      </c>
      <c r="D45" s="23">
        <f>(STDEV(C31,E31,G31)/C45)*100</f>
        <v>13.065692247628501</v>
      </c>
      <c r="E45" s="23">
        <f>AVERAGE(D31,F31,H31)</f>
        <v>29.026666666666667</v>
      </c>
      <c r="F45" s="23">
        <f>STDEV(D31,F31,H31)</f>
        <v>1.1100600584352764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72">
        <f>A32</f>
        <v>40</v>
      </c>
      <c r="B46" s="23">
        <f>B30</f>
        <v>0.1</v>
      </c>
      <c r="C46" s="23">
        <f>AVERAGE(C30,E30,G30)</f>
        <v>44.971367965633995</v>
      </c>
      <c r="D46" s="23">
        <f>(STDEV(C30,E30,G30)/C46)*100</f>
        <v>14.98426224011363</v>
      </c>
      <c r="E46" s="23">
        <f>AVERAGE(D30,F30,H30)</f>
        <v>26.430000000000003</v>
      </c>
      <c r="F46" s="23">
        <f>STDEV(D30,F30,H30)</f>
        <v>1.6531182655817449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3.4569072958069147</v>
      </c>
      <c r="O46" s="44">
        <f t="shared" ref="O46" si="17">10^N46</f>
        <v>2863.5666497502457</v>
      </c>
    </row>
    <row r="47" spans="1:23" s="4" customFormat="1" x14ac:dyDescent="0.25">
      <c r="A47" s="72">
        <f>A29</f>
        <v>40</v>
      </c>
      <c r="B47" s="36">
        <f>B29</f>
        <v>0.01</v>
      </c>
      <c r="C47" s="23">
        <f>AVERAGE(C29,E29,G29)</f>
        <v>26.140634980669002</v>
      </c>
      <c r="D47" s="23">
        <f>(STDEV(C29,E29,G29)/C47)*100</f>
        <v>14.598136256420297</v>
      </c>
      <c r="E47" s="23">
        <f>AVERAGE(D29,F29,H29)</f>
        <v>21.27</v>
      </c>
      <c r="F47" s="23">
        <f>STDEV(D29,F29,H29)</f>
        <v>2.64090893443904</v>
      </c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3.4361548604831174</v>
      </c>
      <c r="O47" s="44">
        <f>10^N47</f>
        <v>2729.9510536912717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3.4045496887385904</v>
      </c>
      <c r="O48" s="44">
        <f>10^N48</f>
        <v>2538.339387229621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3.3569107260489623</v>
      </c>
      <c r="O49" s="44">
        <f t="shared" ref="O49:O62" si="18">10^N49</f>
        <v>2274.6298078316145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3.2862100120554136</v>
      </c>
      <c r="O50" s="44">
        <f t="shared" si="18"/>
        <v>1932.9027860722247</v>
      </c>
    </row>
    <row r="51" spans="1:15" s="4" customFormat="1" x14ac:dyDescent="0.25">
      <c r="A51" s="24">
        <f>O23</f>
        <v>3128.0259854861065</v>
      </c>
      <c r="B51" s="45">
        <f>10^N42</f>
        <v>5.351077476825969</v>
      </c>
      <c r="C51" s="46">
        <f>O42</f>
        <v>-0.74413540801504374</v>
      </c>
      <c r="D51" s="46">
        <f>P42</f>
        <v>-0.44003306428566452</v>
      </c>
      <c r="E51" s="47">
        <f>Q42</f>
        <v>195185.41304669529</v>
      </c>
      <c r="F51" s="48">
        <f>S23</f>
        <v>0.99424438237550017</v>
      </c>
      <c r="G51" s="45">
        <f>R23/Q38</f>
        <v>5.3645212388897197E-2</v>
      </c>
      <c r="H51" s="3"/>
      <c r="I51" s="3"/>
      <c r="J51" s="3"/>
      <c r="K51" s="3"/>
      <c r="L51" s="3"/>
      <c r="M51" s="43">
        <v>1000</v>
      </c>
      <c r="N51" s="21">
        <f t="shared" si="16"/>
        <v>3.1836646986677541</v>
      </c>
      <c r="O51" s="44">
        <f t="shared" si="18"/>
        <v>1526.3871409732728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3.0397776738139828</v>
      </c>
      <c r="O52" s="44">
        <f t="shared" si="18"/>
        <v>1095.9170252355675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2.8469925468880271</v>
      </c>
      <c r="O53" s="44">
        <f t="shared" si="18"/>
        <v>703.06025426481199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2.6040732932106589</v>
      </c>
      <c r="O54" s="44">
        <f t="shared" si="18"/>
        <v>401.8586243368656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2.3205993875822624</v>
      </c>
      <c r="O55" s="44">
        <f t="shared" si="18"/>
        <v>209.21816446709977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2.017976035009414</v>
      </c>
      <c r="O56" s="44">
        <f t="shared" si="18"/>
        <v>104.22599144138508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1.724117494968175</v>
      </c>
      <c r="O57" s="44">
        <f t="shared" si="18"/>
        <v>52.980675957061088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1.4638862722785135</v>
      </c>
      <c r="O58" s="44">
        <f t="shared" si="18"/>
        <v>29.099549948981938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1.2515802580700757</v>
      </c>
      <c r="O59" s="44">
        <f t="shared" si="18"/>
        <v>17.847617838923945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1.0896638304722164</v>
      </c>
      <c r="O60" s="44">
        <f t="shared" si="18"/>
        <v>12.29316838740854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0.97241275114359971</v>
      </c>
      <c r="O61" s="18">
        <f t="shared" si="18"/>
        <v>9.3845348438349276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0.89065442004295847</v>
      </c>
      <c r="O62" s="18">
        <f t="shared" si="18"/>
        <v>7.7741769240279099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S5-1 RH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3.9643448619677382</v>
      </c>
      <c r="E85" s="57">
        <f>10^(LOG(C85)+D85)</f>
        <v>230295.19178089986</v>
      </c>
      <c r="F85" s="58">
        <f>10^($N$42+($P$23-$N$42)/(1+EXP($O$42+$P$42*(LOG10(C85)+$Q$42/19.147142*(1/(273.2+A85)-1/($M$23+273.2))))))</f>
        <v>2378.7675058784744</v>
      </c>
      <c r="G85" s="59">
        <f>F85*6.89476</f>
        <v>16401.031048830668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3.9643448619677382</v>
      </c>
      <c r="E86" s="57">
        <f t="shared" ref="E86:E115" si="20">10^(LOG(C86)+D86)</f>
        <v>92118.076712360024</v>
      </c>
      <c r="F86" s="58">
        <f t="shared" ref="F86:F115" si="21">10^($N$42+($P$23-$N$42)/(1+EXP($O$42+$P$42*(LOG10(C86)+$Q$42/19.147142*(1/(273.2+A86)-1/($M$23+273.2))))))</f>
        <v>2263.3410467368972</v>
      </c>
      <c r="G86" s="59">
        <f t="shared" ref="G86:G115" si="22">F86*6.89476</f>
        <v>15605.193315399689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3.9643448619677382</v>
      </c>
      <c r="E87" s="57">
        <f t="shared" si="20"/>
        <v>46059.038356180004</v>
      </c>
      <c r="F87" s="58">
        <f t="shared" si="21"/>
        <v>2167.6685191943516</v>
      </c>
      <c r="G87" s="59">
        <f t="shared" si="22"/>
        <v>14945.554199400447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3.9643448619677382</v>
      </c>
      <c r="E88" s="57">
        <f t="shared" si="20"/>
        <v>9211.8076712359925</v>
      </c>
      <c r="F88" s="58">
        <f t="shared" si="21"/>
        <v>1918.8203811172771</v>
      </c>
      <c r="G88" s="59">
        <f t="shared" si="22"/>
        <v>13229.806010912156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3.9643448619677382</v>
      </c>
      <c r="E89" s="57">
        <f t="shared" si="20"/>
        <v>4605.9038356179954</v>
      </c>
      <c r="F89" s="58">
        <f t="shared" si="21"/>
        <v>1801.2666915573386</v>
      </c>
      <c r="G89" s="59">
        <f t="shared" si="22"/>
        <v>12419.301534281876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3.9643448619677382</v>
      </c>
      <c r="E90" s="57">
        <f t="shared" si="20"/>
        <v>921.18076712359812</v>
      </c>
      <c r="F90" s="58">
        <f t="shared" si="21"/>
        <v>1510.5108533024438</v>
      </c>
      <c r="G90" s="59">
        <f t="shared" si="22"/>
        <v>10414.609810915557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1.9486251467268825</v>
      </c>
      <c r="E91" s="57">
        <f t="shared" si="20"/>
        <v>2221.0848786036486</v>
      </c>
      <c r="F91" s="58">
        <f t="shared" si="21"/>
        <v>1672.377263297343</v>
      </c>
      <c r="G91" s="59">
        <f t="shared" si="22"/>
        <v>11530.639859891988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1.9486251467268825</v>
      </c>
      <c r="E92" s="57">
        <f t="shared" si="20"/>
        <v>888.43395144145859</v>
      </c>
      <c r="F92" s="58">
        <f t="shared" si="21"/>
        <v>1504.0910079680878</v>
      </c>
      <c r="G92" s="59">
        <f t="shared" si="22"/>
        <v>10370.346518098053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1.9486251467268825</v>
      </c>
      <c r="E93" s="57">
        <f t="shared" si="20"/>
        <v>444.21697572072929</v>
      </c>
      <c r="F93" s="58">
        <f t="shared" si="21"/>
        <v>1374.1974812914689</v>
      </c>
      <c r="G93" s="59">
        <f t="shared" si="22"/>
        <v>9474.7618261091684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1.9486251467268825</v>
      </c>
      <c r="E94" s="57">
        <f t="shared" si="20"/>
        <v>88.843395144145845</v>
      </c>
      <c r="F94" s="58">
        <f t="shared" si="21"/>
        <v>1073.9750307058891</v>
      </c>
      <c r="G94" s="59">
        <f t="shared" si="22"/>
        <v>7404.8000827097358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1.9486251467268825</v>
      </c>
      <c r="E95" s="57">
        <f t="shared" si="20"/>
        <v>44.421697572072937</v>
      </c>
      <c r="F95" s="58">
        <f t="shared" si="21"/>
        <v>949.59913146788165</v>
      </c>
      <c r="G95" s="59">
        <f t="shared" si="22"/>
        <v>6547.2581076794913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1.9486251467268825</v>
      </c>
      <c r="E96" s="57">
        <f t="shared" si="20"/>
        <v>8.8843395144145862</v>
      </c>
      <c r="F96" s="58">
        <f t="shared" si="21"/>
        <v>684.78238762091894</v>
      </c>
      <c r="G96" s="59">
        <f t="shared" si="22"/>
        <v>4721.4102148732072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-0.13130406359013316</v>
      </c>
      <c r="E97" s="57">
        <f t="shared" si="20"/>
        <v>18.477190868820855</v>
      </c>
      <c r="F97" s="58">
        <f t="shared" si="21"/>
        <v>800.6050657963309</v>
      </c>
      <c r="G97" s="59">
        <f t="shared" si="22"/>
        <v>5519.9797834499104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-0.13130406359013316</v>
      </c>
      <c r="E98" s="57">
        <f t="shared" si="20"/>
        <v>7.390876347528339</v>
      </c>
      <c r="F98" s="58">
        <f t="shared" si="21"/>
        <v>657.48151983010609</v>
      </c>
      <c r="G98" s="59">
        <f t="shared" si="22"/>
        <v>4533.177283663822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-0.13130406359013316</v>
      </c>
      <c r="E99" s="57">
        <f t="shared" si="20"/>
        <v>3.6954381737641708</v>
      </c>
      <c r="F99" s="58">
        <f t="shared" si="21"/>
        <v>559.57453316337808</v>
      </c>
      <c r="G99" s="59">
        <f t="shared" si="22"/>
        <v>3858.1321082735326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-0.13130406359013316</v>
      </c>
      <c r="E100" s="57">
        <f t="shared" si="20"/>
        <v>0.73908763475283379</v>
      </c>
      <c r="F100" s="58">
        <f t="shared" si="21"/>
        <v>370.53276169912607</v>
      </c>
      <c r="G100" s="59">
        <f t="shared" si="22"/>
        <v>2554.7344640526662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-0.13130406359013316</v>
      </c>
      <c r="E101" s="57">
        <f t="shared" si="20"/>
        <v>0.36954381737641689</v>
      </c>
      <c r="F101" s="58">
        <f t="shared" si="21"/>
        <v>305.84198291202279</v>
      </c>
      <c r="G101" s="59">
        <f t="shared" si="22"/>
        <v>2108.7070701024982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-0.13130406359013316</v>
      </c>
      <c r="E102" s="57">
        <f t="shared" si="20"/>
        <v>7.3908763475283357E-2</v>
      </c>
      <c r="F102" s="58">
        <f t="shared" si="21"/>
        <v>191.16004867914913</v>
      </c>
      <c r="G102" s="59">
        <f t="shared" si="22"/>
        <v>1318.0026572310503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-1.9882523161659504</v>
      </c>
      <c r="E103" s="57">
        <f t="shared" si="20"/>
        <v>0.25685480381350051</v>
      </c>
      <c r="F103" s="58">
        <f t="shared" si="21"/>
        <v>275.86236187306105</v>
      </c>
      <c r="G103" s="59">
        <f t="shared" si="22"/>
        <v>1902.0047781479063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-1.9882523161659504</v>
      </c>
      <c r="E104" s="57">
        <f t="shared" si="20"/>
        <v>0.10274192152540017</v>
      </c>
      <c r="F104" s="58">
        <f t="shared" si="21"/>
        <v>211.00275324440915</v>
      </c>
      <c r="G104" s="59">
        <f t="shared" si="22"/>
        <v>1454.8133429594225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-1.9882523161659504</v>
      </c>
      <c r="E105" s="57">
        <f t="shared" si="20"/>
        <v>5.137096076270007E-2</v>
      </c>
      <c r="F105" s="58">
        <f t="shared" si="21"/>
        <v>171.41031037535484</v>
      </c>
      <c r="G105" s="59">
        <f t="shared" si="22"/>
        <v>1181.8329515635814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-1.9882523161659504</v>
      </c>
      <c r="E106" s="57">
        <f t="shared" si="20"/>
        <v>1.0274192152540013E-2</v>
      </c>
      <c r="F106" s="58">
        <f t="shared" si="21"/>
        <v>105.13215627624005</v>
      </c>
      <c r="G106" s="59">
        <f t="shared" si="22"/>
        <v>724.86098580716884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-1.9882523161659504</v>
      </c>
      <c r="E107" s="57">
        <f t="shared" si="20"/>
        <v>5.1370960762700058E-3</v>
      </c>
      <c r="F107" s="58">
        <f t="shared" si="21"/>
        <v>85.314462899003374</v>
      </c>
      <c r="G107" s="59">
        <f t="shared" si="22"/>
        <v>588.22274621753252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-1.9882523161659504</v>
      </c>
      <c r="E108" s="57">
        <f t="shared" si="20"/>
        <v>1.0274192152540012E-3</v>
      </c>
      <c r="F108" s="58">
        <f t="shared" si="21"/>
        <v>53.407192483945579</v>
      </c>
      <c r="G108" s="59">
        <f t="shared" si="22"/>
        <v>368.2297744506086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-3.6562526908532078</v>
      </c>
      <c r="E109" s="57">
        <f t="shared" si="20"/>
        <v>5.5168009909563461E-3</v>
      </c>
      <c r="F109" s="58">
        <f t="shared" si="21"/>
        <v>87.187207429503047</v>
      </c>
      <c r="G109" s="59">
        <f t="shared" si="22"/>
        <v>601.13487029664043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-3.6562526908532078</v>
      </c>
      <c r="E110" s="57">
        <f t="shared" si="20"/>
        <v>2.2067203963825385E-3</v>
      </c>
      <c r="F110" s="58">
        <f t="shared" si="21"/>
        <v>66.491582040949552</v>
      </c>
      <c r="G110" s="59">
        <f t="shared" si="22"/>
        <v>458.44350019265732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-3.6562526908532078</v>
      </c>
      <c r="E111" s="57">
        <f t="shared" si="20"/>
        <v>1.1033601981912692E-3</v>
      </c>
      <c r="F111" s="58">
        <f t="shared" si="21"/>
        <v>54.508300287254364</v>
      </c>
      <c r="G111" s="59">
        <f t="shared" si="22"/>
        <v>375.8216484885499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-3.6562526908532078</v>
      </c>
      <c r="E112" s="57">
        <f t="shared" si="20"/>
        <v>2.206720396382538E-4</v>
      </c>
      <c r="F112" s="58">
        <f t="shared" si="21"/>
        <v>35.374715852109475</v>
      </c>
      <c r="G112" s="59">
        <f t="shared" si="22"/>
        <v>243.90017586849032</v>
      </c>
    </row>
    <row r="113" spans="1:7" x14ac:dyDescent="0.25">
      <c r="A113" s="23">
        <v>54.444444444444443</v>
      </c>
      <c r="B113" s="8">
        <v>130</v>
      </c>
      <c r="C113" s="8">
        <v>0.5</v>
      </c>
      <c r="D113" s="56">
        <f t="shared" si="19"/>
        <v>-3.6562526908532078</v>
      </c>
      <c r="E113" s="57">
        <f t="shared" si="20"/>
        <v>1.103360198191269E-4</v>
      </c>
      <c r="F113" s="58">
        <f t="shared" si="21"/>
        <v>29.810120765729529</v>
      </c>
      <c r="G113" s="59">
        <f t="shared" si="22"/>
        <v>205.53362825072131</v>
      </c>
    </row>
    <row r="114" spans="1:7" x14ac:dyDescent="0.25">
      <c r="A114" s="23">
        <v>54.444444444444443</v>
      </c>
      <c r="B114" s="8">
        <v>130</v>
      </c>
      <c r="C114" s="8">
        <v>0.1</v>
      </c>
      <c r="D114" s="56">
        <f t="shared" si="19"/>
        <v>-3.6562526908532078</v>
      </c>
      <c r="E114" s="57">
        <f t="shared" si="20"/>
        <v>2.2067203963825393E-5</v>
      </c>
      <c r="F114" s="58">
        <f t="shared" si="21"/>
        <v>20.846000925079856</v>
      </c>
      <c r="G114" s="59">
        <f t="shared" si="22"/>
        <v>143.72817333820359</v>
      </c>
    </row>
    <row r="115" spans="1:7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601.09687958973791</v>
      </c>
      <c r="G115" s="67">
        <f t="shared" si="22"/>
        <v>4144.4187215201409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AC6C-2516-4356-9A90-44EEA1716DC7}">
  <dimension ref="A1:CJ115"/>
  <sheetViews>
    <sheetView view="pageBreakPreview" topLeftCell="A19" zoomScale="80" zoomScaleNormal="70" zoomScaleSheetLayoutView="80" workbookViewId="0">
      <selection activeCell="J30" sqref="J30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8.5703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130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2.6539999999999999</v>
      </c>
      <c r="F14" s="8" t="s">
        <v>14</v>
      </c>
      <c r="G14" s="60" t="s">
        <v>118</v>
      </c>
      <c r="H14" s="16">
        <v>6.5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5.76</v>
      </c>
      <c r="F15" s="8" t="s">
        <v>24</v>
      </c>
      <c r="G15" s="60" t="s">
        <v>131</v>
      </c>
      <c r="H15" s="16">
        <v>7</v>
      </c>
      <c r="M15" s="4" t="str">
        <f t="shared" ref="M15:N17" si="0">G14</f>
        <v>3D</v>
      </c>
      <c r="N15" s="18">
        <f t="shared" si="0"/>
        <v>6.5</v>
      </c>
      <c r="O15" s="4">
        <f>$B$14</f>
        <v>2.6539999999999999</v>
      </c>
      <c r="P15" s="20">
        <f>$B$15</f>
        <v>5.76</v>
      </c>
      <c r="Q15" s="21">
        <f>$B$16</f>
        <v>2.484</v>
      </c>
      <c r="R15" s="21">
        <f t="shared" ref="R15:R17" si="1">((Q15*(N15-100))/-100)</f>
        <v>2.32254</v>
      </c>
      <c r="S15" s="18">
        <f t="shared" ref="S15:S17" si="2">100-((R15*(100-P15))/O15)</f>
        <v>17.529702486812354</v>
      </c>
      <c r="T15" s="18">
        <f t="shared" ref="T15:T17" si="3">100*((S15-N15)/S15)</f>
        <v>62.920078051011032</v>
      </c>
      <c r="U15" s="18"/>
      <c r="W15" s="18"/>
    </row>
    <row r="16" spans="1:23" x14ac:dyDescent="0.25">
      <c r="A16" s="8" t="s">
        <v>25</v>
      </c>
      <c r="B16" s="22">
        <v>2.484</v>
      </c>
      <c r="F16" s="8" t="s">
        <v>26</v>
      </c>
      <c r="G16" s="60" t="s">
        <v>132</v>
      </c>
      <c r="H16" s="16">
        <v>6.6</v>
      </c>
      <c r="M16" s="4" t="str">
        <f t="shared" si="0"/>
        <v>4B</v>
      </c>
      <c r="N16" s="18">
        <f t="shared" si="0"/>
        <v>7</v>
      </c>
      <c r="O16" s="4">
        <f t="shared" ref="O16:O17" si="4">$B$14</f>
        <v>2.6539999999999999</v>
      </c>
      <c r="P16" s="20">
        <f t="shared" ref="P16:P17" si="5">$B$15</f>
        <v>5.76</v>
      </c>
      <c r="Q16" s="21">
        <f t="shared" ref="Q16:Q17" si="6">$B$16</f>
        <v>2.484</v>
      </c>
      <c r="R16" s="21">
        <f t="shared" si="1"/>
        <v>2.31012</v>
      </c>
      <c r="S16" s="18">
        <f t="shared" si="2"/>
        <v>17.970720120572722</v>
      </c>
      <c r="T16" s="18">
        <f t="shared" si="3"/>
        <v>61.047749043810093</v>
      </c>
      <c r="U16" s="18"/>
    </row>
    <row r="17" spans="1:88" x14ac:dyDescent="0.25">
      <c r="A17" s="8" t="s">
        <v>21</v>
      </c>
      <c r="B17" s="23">
        <f>AVERAGE(S15:S17)</f>
        <v>17.706109540316501</v>
      </c>
      <c r="M17" s="4" t="str">
        <f t="shared" si="0"/>
        <v>4C</v>
      </c>
      <c r="N17" s="18">
        <f t="shared" si="0"/>
        <v>6.6</v>
      </c>
      <c r="O17" s="4">
        <f t="shared" si="4"/>
        <v>2.6539999999999999</v>
      </c>
      <c r="P17" s="20">
        <f t="shared" si="5"/>
        <v>5.76</v>
      </c>
      <c r="Q17" s="21">
        <f t="shared" si="6"/>
        <v>2.484</v>
      </c>
      <c r="R17" s="21">
        <f t="shared" si="1"/>
        <v>2.3200560000000001</v>
      </c>
      <c r="S17" s="18">
        <f t="shared" si="2"/>
        <v>17.617906013564422</v>
      </c>
      <c r="T17" s="18">
        <f t="shared" si="3"/>
        <v>62.538113241616166</v>
      </c>
    </row>
    <row r="18" spans="1:88" x14ac:dyDescent="0.25">
      <c r="A18" s="8" t="s">
        <v>22</v>
      </c>
      <c r="B18" s="23">
        <f>AVERAGE(T15:T17)</f>
        <v>62.168646778812438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1013.66875095189</v>
      </c>
      <c r="D23" s="16">
        <v>13.29</v>
      </c>
      <c r="E23" s="16">
        <v>993.65354310651003</v>
      </c>
      <c r="F23" s="16">
        <v>13.73</v>
      </c>
      <c r="G23" s="16">
        <v>1024.5465813026401</v>
      </c>
      <c r="H23" s="16">
        <v>13.37</v>
      </c>
      <c r="M23" s="4">
        <v>20</v>
      </c>
      <c r="N23" s="29">
        <f>(20+(B18*3*145000)/(B17))^0.58/(650+((B18*3*145000)/B17)^0.58)</f>
        <v>0.85590972711620106</v>
      </c>
      <c r="O23" s="18">
        <f>(N23*(4200000*(1-B17/100)+3*145000*(B17*B18)/10000)+(1-N23)/((1-B17/100)/4200000+B17/(3*B18*145000)))/1000</f>
        <v>3168.6865079316767</v>
      </c>
      <c r="P23" s="29">
        <f>LOG10(O23)</f>
        <v>3.5008792746557393</v>
      </c>
      <c r="R23" s="30">
        <f>(1/6*T38)^0.5</f>
        <v>1.9460673969455246E-2</v>
      </c>
      <c r="S23" s="30">
        <f>1-R23^2/Q38^2*12/6</f>
        <v>0.9974715565625295</v>
      </c>
      <c r="T23" s="30">
        <f>(1-8*R23^2/9*Q38^2)</f>
        <v>0.99989915468243973</v>
      </c>
    </row>
    <row r="24" spans="1:88" x14ac:dyDescent="0.25">
      <c r="A24" s="8">
        <v>4</v>
      </c>
      <c r="B24" s="23">
        <v>1</v>
      </c>
      <c r="C24" s="16">
        <v>1341.74411433051</v>
      </c>
      <c r="D24" s="16">
        <v>11.16</v>
      </c>
      <c r="E24" s="16">
        <v>1325.7899631494099</v>
      </c>
      <c r="F24" s="16">
        <v>11.71</v>
      </c>
      <c r="G24" s="16">
        <v>1355.6677371794699</v>
      </c>
      <c r="H24" s="16">
        <v>11.38</v>
      </c>
    </row>
    <row r="25" spans="1:88" x14ac:dyDescent="0.25">
      <c r="A25" s="8">
        <v>4</v>
      </c>
      <c r="B25" s="23">
        <v>10</v>
      </c>
      <c r="C25" s="16">
        <v>1728.12464838915</v>
      </c>
      <c r="D25" s="16">
        <v>9.4600000000000009</v>
      </c>
      <c r="E25" s="16">
        <v>1709.4147801858601</v>
      </c>
      <c r="F25" s="16">
        <v>10.039999999999999</v>
      </c>
      <c r="G25" s="16">
        <v>1753.21617706488</v>
      </c>
      <c r="H25" s="16">
        <v>9.9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359.25847705077001</v>
      </c>
      <c r="D26" s="16">
        <v>23.19</v>
      </c>
      <c r="E26" s="16">
        <v>312.41128767354002</v>
      </c>
      <c r="F26" s="16">
        <v>24.11</v>
      </c>
      <c r="G26" s="16">
        <v>338.08296730131002</v>
      </c>
      <c r="H26" s="16">
        <v>23.38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585.37231060835995</v>
      </c>
      <c r="D27" s="16">
        <v>19.579999999999998</v>
      </c>
      <c r="E27" s="16">
        <v>518.65495112376004</v>
      </c>
      <c r="F27" s="16">
        <v>20.6</v>
      </c>
      <c r="G27" s="16">
        <v>554.91438562626001</v>
      </c>
      <c r="H27" s="16">
        <v>20.100000000000001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896.76833411583004</v>
      </c>
      <c r="D28" s="16">
        <v>16.100000000000001</v>
      </c>
      <c r="E28" s="16">
        <v>815.54720083023005</v>
      </c>
      <c r="F28" s="16">
        <v>17.02</v>
      </c>
      <c r="G28" s="16">
        <v>859.92874866129</v>
      </c>
      <c r="H28" s="16">
        <v>16.940000000000001</v>
      </c>
      <c r="I28" s="3"/>
      <c r="J28" s="3"/>
      <c r="K28" s="3"/>
      <c r="L28" s="3"/>
      <c r="M28" s="32">
        <f t="shared" ref="M28:N37" si="7">A23</f>
        <v>4</v>
      </c>
      <c r="N28" s="32">
        <f t="shared" si="7"/>
        <v>0.1</v>
      </c>
      <c r="O28" s="33">
        <f>C40</f>
        <v>1010.6229584536801</v>
      </c>
      <c r="P28" s="33">
        <f>E40</f>
        <v>13.463333333333333</v>
      </c>
      <c r="Q28" s="34">
        <f>LOG10(O28)</f>
        <v>3.0045891599387171</v>
      </c>
      <c r="R28" s="34">
        <f t="shared" ref="R28:R37" si="8">$N$42+($P$23-$N$42)/(1+EXP($O$42+$P$42*(LOG10(N28)+$Q$42/19.147142*(1/(273.2+M28)-1/($M$23+273.2)))))</f>
        <v>2.9792529622224979</v>
      </c>
      <c r="S28" s="34">
        <f>Q28-R28</f>
        <v>2.53361977162192E-2</v>
      </c>
      <c r="T28" s="35">
        <f>S28^2</f>
        <v>6.4192291471535095E-4</v>
      </c>
      <c r="U28" s="34">
        <f>$Q$42/19.147143*(1/(M28+273.15)-1/($M$23+273.15))</f>
        <v>2.1387984291037054</v>
      </c>
      <c r="V28" s="34">
        <f>LOG10(N28)+U28</f>
        <v>1.1387984291037054</v>
      </c>
      <c r="W28" s="34">
        <f>10^V28</f>
        <v>13.76570407276769</v>
      </c>
    </row>
    <row r="29" spans="1:88" s="4" customFormat="1" x14ac:dyDescent="0.25">
      <c r="A29" s="15">
        <v>40</v>
      </c>
      <c r="B29" s="36">
        <v>0.01</v>
      </c>
      <c r="C29" s="16">
        <v>41.553311939864997</v>
      </c>
      <c r="D29" s="16">
        <v>27.01</v>
      </c>
      <c r="E29" s="16">
        <v>39.348738322113</v>
      </c>
      <c r="F29" s="16">
        <v>26.42</v>
      </c>
      <c r="G29" s="16">
        <v>41.016672309227999</v>
      </c>
      <c r="H29" s="16">
        <v>27.64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1341.0672715531298</v>
      </c>
      <c r="P29" s="33">
        <f>E39</f>
        <v>11.416666666666666</v>
      </c>
      <c r="Q29" s="34">
        <f t="shared" ref="Q29:Q37" si="9">LOG10(O29)</f>
        <v>3.1274505637811534</v>
      </c>
      <c r="R29" s="34">
        <f t="shared" si="8"/>
        <v>3.1250123585719889</v>
      </c>
      <c r="S29" s="34">
        <f t="shared" ref="S29:S37" si="10">Q29-R29</f>
        <v>2.4382052091644901E-3</v>
      </c>
      <c r="T29" s="35">
        <f t="shared" ref="T29:T37" si="11">S29^2</f>
        <v>5.9448446419968552E-6</v>
      </c>
      <c r="U29" s="34">
        <f t="shared" ref="U29:U37" si="12">$Q$42/19.147143*(1/(M29+273.15)-1/($M$23+273.15))</f>
        <v>2.1387984291037054</v>
      </c>
      <c r="V29" s="34">
        <f t="shared" ref="V29:V37" si="13">LOG10(N29)+U29</f>
        <v>2.1387984291037054</v>
      </c>
      <c r="W29" s="34">
        <f t="shared" ref="W29:W37" si="14">10^V29</f>
        <v>137.65704072767693</v>
      </c>
    </row>
    <row r="30" spans="1:88" s="4" customFormat="1" x14ac:dyDescent="0.25">
      <c r="A30" s="15">
        <v>40</v>
      </c>
      <c r="B30" s="23">
        <v>0.1</v>
      </c>
      <c r="C30" s="16">
        <v>77.653204930553997</v>
      </c>
      <c r="D30" s="16">
        <v>28.7</v>
      </c>
      <c r="E30" s="16">
        <v>70.952461434491994</v>
      </c>
      <c r="F30" s="16">
        <v>27.53</v>
      </c>
      <c r="G30" s="16">
        <v>76.797482276295</v>
      </c>
      <c r="H30" s="16">
        <v>29.17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1730.25186854663</v>
      </c>
      <c r="P30" s="33">
        <f>E38</f>
        <v>9.7999999999999989</v>
      </c>
      <c r="Q30" s="34">
        <f t="shared" si="9"/>
        <v>3.2381093269196146</v>
      </c>
      <c r="R30" s="34">
        <f t="shared" si="8"/>
        <v>3.2345234712039348</v>
      </c>
      <c r="S30" s="34">
        <f t="shared" si="10"/>
        <v>3.5858557156798199E-3</v>
      </c>
      <c r="T30" s="35">
        <f t="shared" si="11"/>
        <v>1.2858361213673633E-5</v>
      </c>
      <c r="U30" s="34">
        <f t="shared" si="12"/>
        <v>2.1387984291037054</v>
      </c>
      <c r="V30" s="34">
        <f t="shared" si="13"/>
        <v>3.1387984291037054</v>
      </c>
      <c r="W30" s="34">
        <f t="shared" si="14"/>
        <v>1376.5704072767696</v>
      </c>
    </row>
    <row r="31" spans="1:88" s="4" customFormat="1" x14ac:dyDescent="0.25">
      <c r="A31" s="15">
        <v>40</v>
      </c>
      <c r="B31" s="23">
        <v>1</v>
      </c>
      <c r="C31" s="16">
        <v>149.82398336432999</v>
      </c>
      <c r="D31" s="16">
        <v>28.58</v>
      </c>
      <c r="E31" s="16">
        <v>133.98586237363799</v>
      </c>
      <c r="F31" s="16">
        <v>27.87</v>
      </c>
      <c r="G31" s="16">
        <v>148.37360598423001</v>
      </c>
      <c r="H31" s="16">
        <v>28.72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336.58424400854</v>
      </c>
      <c r="P31" s="33">
        <f>E43</f>
        <v>23.56</v>
      </c>
      <c r="Q31" s="34">
        <f t="shared" si="9"/>
        <v>2.5270937821677171</v>
      </c>
      <c r="R31" s="34">
        <f t="shared" si="8"/>
        <v>2.5305555709163197</v>
      </c>
      <c r="S31" s="34">
        <f t="shared" si="10"/>
        <v>-3.46178874860259E-3</v>
      </c>
      <c r="T31" s="35">
        <f t="shared" si="11"/>
        <v>1.1983981339951487E-5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15">
        <v>40</v>
      </c>
      <c r="B32" s="23">
        <v>10</v>
      </c>
      <c r="C32" s="16">
        <v>299.50292899064999</v>
      </c>
      <c r="D32" s="16">
        <v>25.8</v>
      </c>
      <c r="E32" s="16">
        <v>269.48011722258002</v>
      </c>
      <c r="F32" s="16">
        <v>25.92</v>
      </c>
      <c r="G32" s="16">
        <v>298.92277803860998</v>
      </c>
      <c r="H32" s="16">
        <v>26.03</v>
      </c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552.98054911946008</v>
      </c>
      <c r="P32" s="33">
        <f>E42</f>
        <v>20.093333333333334</v>
      </c>
      <c r="Q32" s="34">
        <f t="shared" si="9"/>
        <v>2.7427098554301015</v>
      </c>
      <c r="R32" s="34">
        <f t="shared" si="8"/>
        <v>2.7635028588562474</v>
      </c>
      <c r="S32" s="34">
        <f t="shared" si="10"/>
        <v>-2.0793003426145873E-2</v>
      </c>
      <c r="T32" s="35">
        <f t="shared" si="11"/>
        <v>4.3234899147971402E-4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857.41476120244999</v>
      </c>
      <c r="P33" s="33">
        <f>E41</f>
        <v>16.686666666666667</v>
      </c>
      <c r="Q33" s="34">
        <f t="shared" si="9"/>
        <v>2.9331909560274094</v>
      </c>
      <c r="R33" s="34">
        <f t="shared" si="8"/>
        <v>2.9559790322690427</v>
      </c>
      <c r="S33" s="34">
        <f t="shared" si="10"/>
        <v>-2.2788076241633259E-2</v>
      </c>
      <c r="T33" s="35">
        <f t="shared" si="11"/>
        <v>5.1929641879449023E-4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0.01</v>
      </c>
      <c r="O34" s="33">
        <f>C47</f>
        <v>40.639574190401994</v>
      </c>
      <c r="P34" s="33">
        <f>E47</f>
        <v>27.023333333333337</v>
      </c>
      <c r="Q34" s="34">
        <f t="shared" si="9"/>
        <v>1.6089491488888659</v>
      </c>
      <c r="R34" s="34">
        <f t="shared" si="8"/>
        <v>1.6075642404049717</v>
      </c>
      <c r="S34" s="34">
        <f t="shared" si="10"/>
        <v>1.384908483894165E-3</v>
      </c>
      <c r="T34" s="35">
        <f t="shared" si="11"/>
        <v>1.9179715087620345E-6</v>
      </c>
      <c r="U34" s="34">
        <f t="shared" si="12"/>
        <v>-2.3661503457851389</v>
      </c>
      <c r="V34" s="34">
        <f t="shared" si="13"/>
        <v>-4.3661503457851385</v>
      </c>
      <c r="W34" s="34">
        <f t="shared" si="14"/>
        <v>4.3037759487812764E-5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0.1</v>
      </c>
      <c r="O35" s="33">
        <f>C46</f>
        <v>75.134382880446992</v>
      </c>
      <c r="P35" s="33">
        <f>E46</f>
        <v>28.466666666666669</v>
      </c>
      <c r="Q35" s="34">
        <f t="shared" si="9"/>
        <v>1.8758387236630474</v>
      </c>
      <c r="R35" s="34">
        <f t="shared" si="8"/>
        <v>1.8799597179557106</v>
      </c>
      <c r="S35" s="34">
        <f t="shared" si="10"/>
        <v>-4.1209942926632159E-3</v>
      </c>
      <c r="T35" s="35">
        <f t="shared" si="11"/>
        <v>1.69825939601628E-5</v>
      </c>
      <c r="U35" s="34">
        <f t="shared" si="12"/>
        <v>-2.3661503457851389</v>
      </c>
      <c r="V35" s="34">
        <f t="shared" si="13"/>
        <v>-3.3661503457851389</v>
      </c>
      <c r="W35" s="34">
        <f t="shared" si="14"/>
        <v>4.3037759487812741E-4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</v>
      </c>
      <c r="O36" s="33">
        <f>C45</f>
        <v>144.061150574066</v>
      </c>
      <c r="P36" s="33">
        <f>E45</f>
        <v>28.39</v>
      </c>
      <c r="Q36" s="34">
        <f t="shared" si="9"/>
        <v>2.1585468790368978</v>
      </c>
      <c r="R36" s="34">
        <f t="shared" si="8"/>
        <v>2.1631423861662897</v>
      </c>
      <c r="S36" s="34">
        <f t="shared" si="10"/>
        <v>-4.5955071293919403E-3</v>
      </c>
      <c r="T36" s="35">
        <f t="shared" si="11"/>
        <v>2.1118685776292151E-5</v>
      </c>
      <c r="U36" s="34">
        <f t="shared" si="12"/>
        <v>-2.3661503457851389</v>
      </c>
      <c r="V36" s="34">
        <f t="shared" si="13"/>
        <v>-2.3661503457851389</v>
      </c>
      <c r="W36" s="34">
        <f t="shared" si="14"/>
        <v>4.3037759487812742E-3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M37" s="32">
        <f t="shared" si="7"/>
        <v>40</v>
      </c>
      <c r="N37" s="32">
        <f t="shared" si="7"/>
        <v>10</v>
      </c>
      <c r="O37" s="33">
        <f>C44</f>
        <v>289.30194141727998</v>
      </c>
      <c r="P37" s="33">
        <f>E44</f>
        <v>25.916666666666668</v>
      </c>
      <c r="Q37" s="34">
        <f t="shared" si="9"/>
        <v>2.4613513480758527</v>
      </c>
      <c r="R37" s="34">
        <f t="shared" si="8"/>
        <v>2.4366950664291362</v>
      </c>
      <c r="S37" s="34">
        <f t="shared" si="10"/>
        <v>2.4656281646716405E-2</v>
      </c>
      <c r="T37" s="35">
        <f t="shared" si="11"/>
        <v>6.0793222464220419E-4</v>
      </c>
      <c r="U37" s="34">
        <f t="shared" si="12"/>
        <v>-2.3661503457851389</v>
      </c>
      <c r="V37" s="34">
        <f t="shared" si="13"/>
        <v>-1.3661503457851389</v>
      </c>
      <c r="W37" s="34">
        <f t="shared" si="14"/>
        <v>4.3037759487812736E-2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1730.25186854663</v>
      </c>
      <c r="D38" s="23">
        <f>(STDEV(C25,E25,G25)/C38)*100</f>
        <v>1.270222202411585</v>
      </c>
      <c r="E38" s="23">
        <f>AVERAGE(D25,F25,H25)</f>
        <v>9.7999999999999989</v>
      </c>
      <c r="F38" s="23">
        <f>STDEV(D25,F25,H25)</f>
        <v>0.30265491900843039</v>
      </c>
      <c r="G38" s="3"/>
      <c r="H38" s="3"/>
      <c r="I38" s="26" t="s">
        <v>32</v>
      </c>
      <c r="J38" s="8">
        <v>20</v>
      </c>
      <c r="K38" s="3"/>
      <c r="L38" s="3"/>
      <c r="P38" s="32" t="s">
        <v>68</v>
      </c>
      <c r="Q38" s="35">
        <f>STDEV(Q28:Q37)</f>
        <v>0.54732621942408877</v>
      </c>
      <c r="S38" s="32" t="s">
        <v>69</v>
      </c>
      <c r="T38" s="35">
        <f>SUM(T28:T37)</f>
        <v>2.2723069880725985E-3</v>
      </c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1341.0672715531298</v>
      </c>
      <c r="D39" s="23">
        <f>(STDEV(C24,E24,G24)/C39)*100</f>
        <v>1.1148122592587366</v>
      </c>
      <c r="E39" s="23">
        <f>AVERAGE(D24,F24,H24)</f>
        <v>11.416666666666666</v>
      </c>
      <c r="F39" s="23">
        <f>STDEV(D24,F24,H24)</f>
        <v>0.27682726262659446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1010.6229584536801</v>
      </c>
      <c r="D40" s="23">
        <f>(STDEV(C23,E23,G23)/C40)*100</f>
        <v>1.5505404510937844</v>
      </c>
      <c r="E40" s="23">
        <f>AVERAGE(D23,F23,H23)</f>
        <v>13.463333333333333</v>
      </c>
      <c r="F40" s="23">
        <f>STDEV(D23,F23,H23)</f>
        <v>0.23437861108329333</v>
      </c>
      <c r="G40" s="3"/>
      <c r="H40" s="3"/>
      <c r="I40" s="12" t="s">
        <v>94</v>
      </c>
      <c r="J40" s="59">
        <f>G115</f>
        <v>5507.8826363271774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857.41476120244999</v>
      </c>
      <c r="D41" s="23">
        <f>(STDEV(C28,E28,G28)/C41)*100</f>
        <v>4.7431986282722649</v>
      </c>
      <c r="E41" s="23">
        <f>AVERAGE(D28,F28,H28)</f>
        <v>16.686666666666667</v>
      </c>
      <c r="F41" s="23">
        <f>STDEV(D28,F28,H28)</f>
        <v>0.50964039609643641</v>
      </c>
      <c r="G41" s="3"/>
      <c r="H41" s="3"/>
      <c r="I41" s="69" t="s">
        <v>35</v>
      </c>
      <c r="J41" s="62">
        <f>AVERAGE(E41:E42)</f>
        <v>18.39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552.98054911946008</v>
      </c>
      <c r="D42" s="23">
        <f>(STDEV(C27,E27,G27)/C42)*100</f>
        <v>6.0401208076292532</v>
      </c>
      <c r="E42" s="23">
        <f>AVERAGE(D27,F27,H27)</f>
        <v>20.093333333333334</v>
      </c>
      <c r="F42" s="23">
        <f>STDEV(D27,F27,H27)</f>
        <v>0.51003267869160596</v>
      </c>
      <c r="G42" s="3"/>
      <c r="H42" s="3"/>
      <c r="I42" s="32" t="s">
        <v>105</v>
      </c>
      <c r="J42" s="70">
        <f>(COS(RADIANS(J41)))^2</f>
        <v>0.90047021042148379</v>
      </c>
      <c r="K42" s="3"/>
      <c r="L42" s="3"/>
      <c r="M42" s="38" t="s">
        <v>78</v>
      </c>
      <c r="N42" s="39">
        <f>N43</f>
        <v>0.55856667434143037</v>
      </c>
      <c r="O42" s="39">
        <f>O43*-1</f>
        <v>-1.0953553438240657</v>
      </c>
      <c r="P42" s="39">
        <f>P43*-1</f>
        <v>-0.38618717023962906</v>
      </c>
      <c r="Q42" s="40">
        <f>Q43*200000</f>
        <v>207949.861791887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336.58424400854</v>
      </c>
      <c r="D43" s="23">
        <f>(STDEV(C26,E26,G26)/C43)*100</f>
        <v>6.969882763207746</v>
      </c>
      <c r="E43" s="23">
        <f>AVERAGE(D26,F26,H26)</f>
        <v>23.56</v>
      </c>
      <c r="F43" s="23">
        <f>STDEV(D26,F26,H26)</f>
        <v>0.48569537778323502</v>
      </c>
      <c r="G43" s="3"/>
      <c r="H43" s="3"/>
      <c r="I43" s="32" t="s">
        <v>106</v>
      </c>
      <c r="J43" s="70">
        <f>SIN(RADIANS(J41))</f>
        <v>0.31548342203436963</v>
      </c>
      <c r="K43" s="3"/>
      <c r="L43" s="3"/>
      <c r="M43" s="38" t="s">
        <v>80</v>
      </c>
      <c r="N43" s="39">
        <v>0.55856667434143037</v>
      </c>
      <c r="O43" s="39">
        <v>1.0953553438240657</v>
      </c>
      <c r="P43" s="39">
        <v>0.38618717023962906</v>
      </c>
      <c r="Q43" s="41">
        <v>1.039749308959435</v>
      </c>
      <c r="R43" s="4" t="s">
        <v>81</v>
      </c>
    </row>
    <row r="44" spans="1:23" s="4" customFormat="1" ht="18" x14ac:dyDescent="0.35">
      <c r="A44" s="72">
        <f>A30</f>
        <v>40</v>
      </c>
      <c r="B44" s="23">
        <f>B32</f>
        <v>10</v>
      </c>
      <c r="C44" s="23">
        <f>AVERAGE(C32,E32,G32)</f>
        <v>289.30194141727998</v>
      </c>
      <c r="D44" s="23">
        <f>(STDEV(C32,E32,G32)/C44)*100</f>
        <v>5.9345104629554744</v>
      </c>
      <c r="E44" s="23">
        <f>AVERAGE(D32,F32,H32)</f>
        <v>25.916666666666668</v>
      </c>
      <c r="F44" s="23">
        <f>STDEV(D32,F32,H32)</f>
        <v>0.11503622617824955</v>
      </c>
      <c r="G44" s="3"/>
      <c r="H44" s="3"/>
      <c r="I44" s="12" t="s">
        <v>107</v>
      </c>
      <c r="J44" s="59">
        <f>(J40*J42)/J43</f>
        <v>15720.902875112242</v>
      </c>
      <c r="K44" s="3"/>
      <c r="L44" s="3"/>
    </row>
    <row r="45" spans="1:23" s="4" customFormat="1" x14ac:dyDescent="0.25">
      <c r="A45" s="72">
        <f>A31</f>
        <v>40</v>
      </c>
      <c r="B45" s="23">
        <f>B31</f>
        <v>1</v>
      </c>
      <c r="C45" s="23">
        <f>AVERAGE(C31,E31,G31)</f>
        <v>144.061150574066</v>
      </c>
      <c r="D45" s="23">
        <f>(STDEV(C31,E31,G31)/C45)*100</f>
        <v>6.0776548839637226</v>
      </c>
      <c r="E45" s="23">
        <f>AVERAGE(D31,F31,H31)</f>
        <v>28.39</v>
      </c>
      <c r="F45" s="23">
        <f>STDEV(D31,F31,H31)</f>
        <v>0.45574115460423231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72">
        <f>A32</f>
        <v>40</v>
      </c>
      <c r="B46" s="23">
        <f>B30</f>
        <v>0.1</v>
      </c>
      <c r="C46" s="23">
        <f>AVERAGE(C30,E30,G30)</f>
        <v>75.134382880446992</v>
      </c>
      <c r="D46" s="23">
        <f>(STDEV(C30,E30,G30)/C46)*100</f>
        <v>4.8537516856922531</v>
      </c>
      <c r="E46" s="23">
        <f>AVERAGE(D30,F30,H30)</f>
        <v>28.466666666666669</v>
      </c>
      <c r="F46" s="23">
        <f>STDEV(D30,F30,H30)</f>
        <v>0.84453142826855965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3.4567559421278968</v>
      </c>
      <c r="O46" s="44">
        <f t="shared" ref="O46" si="17">10^N46</f>
        <v>2862.5688571200581</v>
      </c>
    </row>
    <row r="47" spans="1:23" s="4" customFormat="1" x14ac:dyDescent="0.25">
      <c r="A47" s="72">
        <f>A29</f>
        <v>40</v>
      </c>
      <c r="B47" s="36">
        <f>B29</f>
        <v>0.01</v>
      </c>
      <c r="C47" s="23">
        <f>AVERAGE(C29,E29,G29)</f>
        <v>40.639574190401994</v>
      </c>
      <c r="D47" s="23">
        <f>(STDEV(C29,E29,G29)/C47)*100</f>
        <v>2.8288856908305924</v>
      </c>
      <c r="E47" s="23">
        <f>AVERAGE(D29,F29,H29)</f>
        <v>27.023333333333337</v>
      </c>
      <c r="F47" s="23">
        <f>STDEV(D29,F29,H29)</f>
        <v>0.61010927982889473</v>
      </c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3.4364136468790258</v>
      </c>
      <c r="O47" s="44">
        <f>10^N47</f>
        <v>2731.5782553978574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3.4069966915970218</v>
      </c>
      <c r="O48" s="44">
        <f>10^N48</f>
        <v>2552.6818565647018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3.3647909670435263</v>
      </c>
      <c r="O49" s="44">
        <f t="shared" ref="O49:O62" si="18">10^N49</f>
        <v>2316.2795188391401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3.3049166404582309</v>
      </c>
      <c r="O50" s="44">
        <f t="shared" si="18"/>
        <v>2017.9789906983101</v>
      </c>
    </row>
    <row r="51" spans="1:15" s="4" customFormat="1" x14ac:dyDescent="0.25">
      <c r="A51" s="24">
        <f>O23</f>
        <v>3168.6865079316767</v>
      </c>
      <c r="B51" s="45">
        <f>10^N42</f>
        <v>3.6188174376365216</v>
      </c>
      <c r="C51" s="46">
        <f>O42</f>
        <v>-1.0953553438240657</v>
      </c>
      <c r="D51" s="46">
        <f>P42</f>
        <v>-0.38618717023962906</v>
      </c>
      <c r="E51" s="47">
        <f>Q42</f>
        <v>207949.861791887</v>
      </c>
      <c r="F51" s="48">
        <f>S23</f>
        <v>0.9974715565625295</v>
      </c>
      <c r="G51" s="45">
        <f>R23/Q38</f>
        <v>3.5555895695865411E-2</v>
      </c>
      <c r="H51" s="3"/>
      <c r="I51" s="3"/>
      <c r="J51" s="3"/>
      <c r="K51" s="3"/>
      <c r="L51" s="3"/>
      <c r="M51" s="43">
        <v>1000</v>
      </c>
      <c r="N51" s="21">
        <f t="shared" si="16"/>
        <v>3.221323857497417</v>
      </c>
      <c r="O51" s="44">
        <f t="shared" si="18"/>
        <v>1664.6535355082074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3.1071842093568609</v>
      </c>
      <c r="O52" s="44">
        <f t="shared" si="18"/>
        <v>1279.9240787162259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2.9559790322690427</v>
      </c>
      <c r="O53" s="44">
        <f t="shared" si="18"/>
        <v>903.60584659267101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2.7635028588562474</v>
      </c>
      <c r="O54" s="44">
        <f t="shared" si="18"/>
        <v>580.09999116902509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2.5305555709163197</v>
      </c>
      <c r="O55" s="44">
        <f t="shared" si="18"/>
        <v>339.2778996660503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2.2652567847443184</v>
      </c>
      <c r="O56" s="44">
        <f t="shared" si="18"/>
        <v>184.1860714211312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1.9832453713947229</v>
      </c>
      <c r="O57" s="44">
        <f t="shared" si="18"/>
        <v>96.215573178555189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1.7046121886277039</v>
      </c>
      <c r="O58" s="44">
        <f t="shared" si="18"/>
        <v>50.653818352404564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1.4485173619932206</v>
      </c>
      <c r="O59" s="44">
        <f t="shared" si="18"/>
        <v>28.087776583389694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1.2283121151711565</v>
      </c>
      <c r="O60" s="44">
        <f t="shared" si="18"/>
        <v>16.916562404213856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1.0495584684293491</v>
      </c>
      <c r="O61" s="18">
        <f t="shared" si="18"/>
        <v>11.208783181838113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0.9111126453710896</v>
      </c>
      <c r="O62" s="18">
        <f t="shared" si="18"/>
        <v>8.1491562580170172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S5-1 CA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4.2235992601780463</v>
      </c>
      <c r="E85" s="57">
        <f>10^(LOG(C85)+D85)</f>
        <v>418349.51404956856</v>
      </c>
      <c r="F85" s="58">
        <f>10^($N$42+($P$23-$N$42)/(1+EXP($O$42+$P$42*(LOG10(C85)+$Q$42/19.147142*(1/(273.2+A85)-1/($M$23+273.2))))))</f>
        <v>2470.0362283405448</v>
      </c>
      <c r="G85" s="59">
        <f>F85*6.89476</f>
        <v>17030.306985713254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4.2235992601780463</v>
      </c>
      <c r="E86" s="57">
        <f t="shared" ref="E86:E115" si="20">10^(LOG(C86)+D86)</f>
        <v>167339.80561982756</v>
      </c>
      <c r="F86" s="58">
        <f t="shared" ref="F86:F115" si="21">10^($N$42+($P$23-$N$42)/(1+EXP($O$42+$P$42*(LOG10(C86)+$Q$42/19.147142*(1/(273.2+A86)-1/($M$23+273.2))))))</f>
        <v>2374.1011381527724</v>
      </c>
      <c r="G86" s="59">
        <f t="shared" ref="G86:G115" si="22">F86*6.89476</f>
        <v>16368.857563290208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4.2235992601780463</v>
      </c>
      <c r="E87" s="57">
        <f t="shared" si="20"/>
        <v>83669.902809913779</v>
      </c>
      <c r="F87" s="58">
        <f t="shared" si="21"/>
        <v>2294.9764257466036</v>
      </c>
      <c r="G87" s="59">
        <f t="shared" si="22"/>
        <v>15823.311661180653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4.2235992601780463</v>
      </c>
      <c r="E88" s="57">
        <f t="shared" si="20"/>
        <v>16733.980561982738</v>
      </c>
      <c r="F88" s="58">
        <f t="shared" si="21"/>
        <v>2089.4527064218278</v>
      </c>
      <c r="G88" s="59">
        <f t="shared" si="22"/>
        <v>14406.274942128961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4.2235992601780463</v>
      </c>
      <c r="E89" s="57">
        <f t="shared" si="20"/>
        <v>8366.9902809913674</v>
      </c>
      <c r="F89" s="58">
        <f t="shared" si="21"/>
        <v>1991.8896348602134</v>
      </c>
      <c r="G89" s="59">
        <f t="shared" si="22"/>
        <v>13733.600978848805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4.2235992601780463</v>
      </c>
      <c r="E90" s="57">
        <f t="shared" si="20"/>
        <v>1673.3980561982735</v>
      </c>
      <c r="F90" s="58">
        <f t="shared" si="21"/>
        <v>1746.9508083012854</v>
      </c>
      <c r="G90" s="59">
        <f t="shared" si="22"/>
        <v>12044.806555043369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2.076058469846354</v>
      </c>
      <c r="E91" s="57">
        <f t="shared" si="20"/>
        <v>2978.5059946891315</v>
      </c>
      <c r="F91" s="58">
        <f t="shared" si="21"/>
        <v>1837.6627958939914</v>
      </c>
      <c r="G91" s="59">
        <f t="shared" si="22"/>
        <v>12670.243938618056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2.076058469846354</v>
      </c>
      <c r="E92" s="57">
        <f t="shared" si="20"/>
        <v>1191.4023978756516</v>
      </c>
      <c r="F92" s="58">
        <f t="shared" si="21"/>
        <v>1692.7688703355373</v>
      </c>
      <c r="G92" s="59">
        <f t="shared" si="22"/>
        <v>11671.235096434648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2.076058469846354</v>
      </c>
      <c r="E93" s="57">
        <f t="shared" si="20"/>
        <v>595.70119893782567</v>
      </c>
      <c r="F93" s="58">
        <f t="shared" si="21"/>
        <v>1579.3573070866221</v>
      </c>
      <c r="G93" s="59">
        <f t="shared" si="22"/>
        <v>10889.289586608558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2.076058469846354</v>
      </c>
      <c r="E94" s="57">
        <f t="shared" si="20"/>
        <v>119.14023978756512</v>
      </c>
      <c r="F94" s="58">
        <f t="shared" si="21"/>
        <v>1309.1809865419884</v>
      </c>
      <c r="G94" s="59">
        <f t="shared" si="22"/>
        <v>9026.4886987702394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2.076058469846354</v>
      </c>
      <c r="E95" s="57">
        <f t="shared" si="20"/>
        <v>59.570119893782554</v>
      </c>
      <c r="F95" s="58">
        <f t="shared" si="21"/>
        <v>1192.6154993231537</v>
      </c>
      <c r="G95" s="59">
        <f t="shared" si="22"/>
        <v>8222.7976401133074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2.076058469846354</v>
      </c>
      <c r="E96" s="57">
        <f t="shared" si="20"/>
        <v>11.914023978756509</v>
      </c>
      <c r="F96" s="58">
        <f t="shared" si="21"/>
        <v>930.63043284496359</v>
      </c>
      <c r="G96" s="59">
        <f t="shared" si="22"/>
        <v>6416.4734831621408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-0.13989089374086111</v>
      </c>
      <c r="E97" s="57">
        <f t="shared" si="20"/>
        <v>18.115449510242154</v>
      </c>
      <c r="F97" s="58">
        <f t="shared" si="21"/>
        <v>997.36047530222083</v>
      </c>
      <c r="G97" s="59">
        <f t="shared" si="22"/>
        <v>6876.5611106947399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-0.13989089374086111</v>
      </c>
      <c r="E98" s="57">
        <f t="shared" si="20"/>
        <v>7.2461798040968599</v>
      </c>
      <c r="F98" s="58">
        <f t="shared" si="21"/>
        <v>854.26478250360162</v>
      </c>
      <c r="G98" s="59">
        <f t="shared" si="22"/>
        <v>5889.9506518145317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-0.13989089374086111</v>
      </c>
      <c r="E99" s="57">
        <f t="shared" si="20"/>
        <v>3.6230899020484313</v>
      </c>
      <c r="F99" s="58">
        <f t="shared" si="21"/>
        <v>752.15608717562361</v>
      </c>
      <c r="G99" s="59">
        <f t="shared" si="22"/>
        <v>5185.9357036150022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-0.13989089374086111</v>
      </c>
      <c r="E100" s="57">
        <f t="shared" si="20"/>
        <v>0.72461798040968595</v>
      </c>
      <c r="F100" s="58">
        <f t="shared" si="21"/>
        <v>541.07858602598412</v>
      </c>
      <c r="G100" s="59">
        <f t="shared" si="22"/>
        <v>3730.6069917885143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-0.13989089374086111</v>
      </c>
      <c r="E101" s="57">
        <f t="shared" si="20"/>
        <v>0.36230899020484297</v>
      </c>
      <c r="F101" s="58">
        <f t="shared" si="21"/>
        <v>462.90908695117571</v>
      </c>
      <c r="G101" s="59">
        <f t="shared" si="22"/>
        <v>3191.6470563474882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-0.13989089374086111</v>
      </c>
      <c r="E102" s="57">
        <f t="shared" si="20"/>
        <v>7.2461798040968556E-2</v>
      </c>
      <c r="F102" s="58">
        <f t="shared" si="21"/>
        <v>312.69217914248094</v>
      </c>
      <c r="G102" s="59">
        <f t="shared" si="22"/>
        <v>2155.9375290644116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-2.1182771186655995</v>
      </c>
      <c r="E103" s="57">
        <f t="shared" si="20"/>
        <v>0.19039822266680884</v>
      </c>
      <c r="F103" s="58">
        <f t="shared" si="21"/>
        <v>397.76653270100672</v>
      </c>
      <c r="G103" s="59">
        <f t="shared" si="22"/>
        <v>2742.5047790055928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-2.1182771186655995</v>
      </c>
      <c r="E104" s="57">
        <f t="shared" si="20"/>
        <v>7.6159289066723521E-2</v>
      </c>
      <c r="F104" s="58">
        <f t="shared" si="21"/>
        <v>316.81222477988086</v>
      </c>
      <c r="G104" s="59">
        <f t="shared" si="22"/>
        <v>2184.3442549233314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-2.1182771186655995</v>
      </c>
      <c r="E105" s="57">
        <f t="shared" si="20"/>
        <v>3.8079644533361753E-2</v>
      </c>
      <c r="F105" s="58">
        <f t="shared" si="21"/>
        <v>264.66119843012649</v>
      </c>
      <c r="G105" s="59">
        <f t="shared" si="22"/>
        <v>1824.7754444880989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-2.1182771186655995</v>
      </c>
      <c r="E106" s="57">
        <f t="shared" si="20"/>
        <v>7.6159289066723467E-3</v>
      </c>
      <c r="F106" s="58">
        <f t="shared" si="21"/>
        <v>170.84416078197458</v>
      </c>
      <c r="G106" s="59">
        <f t="shared" si="22"/>
        <v>1177.9294859931269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-2.1182771186655995</v>
      </c>
      <c r="E107" s="57">
        <f t="shared" si="20"/>
        <v>3.8079644533361733E-3</v>
      </c>
      <c r="F107" s="58">
        <f t="shared" si="21"/>
        <v>140.64702478711681</v>
      </c>
      <c r="G107" s="59">
        <f t="shared" si="22"/>
        <v>969.72748062122139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-2.1182771186655995</v>
      </c>
      <c r="E108" s="57">
        <f t="shared" si="20"/>
        <v>7.6159289066723458E-4</v>
      </c>
      <c r="F108" s="58">
        <f t="shared" si="21"/>
        <v>89.106354549406078</v>
      </c>
      <c r="G108" s="59">
        <f t="shared" si="22"/>
        <v>614.36692909306305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-3.8953589301124909</v>
      </c>
      <c r="E109" s="57">
        <f t="shared" si="20"/>
        <v>3.1811275184919622E-3</v>
      </c>
      <c r="F109" s="58">
        <f t="shared" si="21"/>
        <v>133.72649128547855</v>
      </c>
      <c r="G109" s="59">
        <f t="shared" si="22"/>
        <v>922.012063055466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-3.8953589301124909</v>
      </c>
      <c r="E110" s="57">
        <f t="shared" si="20"/>
        <v>1.2724510073967861E-3</v>
      </c>
      <c r="F110" s="58">
        <f t="shared" si="21"/>
        <v>103.1130689189381</v>
      </c>
      <c r="G110" s="59">
        <f t="shared" si="22"/>
        <v>710.93986305953763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-3.8953589301124909</v>
      </c>
      <c r="E111" s="57">
        <f t="shared" si="20"/>
        <v>6.3622550369839238E-4</v>
      </c>
      <c r="F111" s="58">
        <f t="shared" si="21"/>
        <v>84.71531887354503</v>
      </c>
      <c r="G111" s="59">
        <f t="shared" si="22"/>
        <v>584.09179195656327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-3.8953589301124909</v>
      </c>
      <c r="E112" s="57">
        <f t="shared" si="20"/>
        <v>1.2724510073967846E-4</v>
      </c>
      <c r="F112" s="58">
        <f t="shared" si="21"/>
        <v>54.119282819880056</v>
      </c>
      <c r="G112" s="59">
        <f t="shared" si="22"/>
        <v>373.13946641519618</v>
      </c>
    </row>
    <row r="113" spans="1:7" x14ac:dyDescent="0.25">
      <c r="A113" s="23">
        <v>54.444444444444443</v>
      </c>
      <c r="B113" s="8">
        <v>130</v>
      </c>
      <c r="C113" s="8">
        <v>0.5</v>
      </c>
      <c r="D113" s="56">
        <f t="shared" si="19"/>
        <v>-3.8953589301124909</v>
      </c>
      <c r="E113" s="57">
        <f t="shared" si="20"/>
        <v>6.3622550369839216E-5</v>
      </c>
      <c r="F113" s="58">
        <f t="shared" si="21"/>
        <v>44.91055562623886</v>
      </c>
      <c r="G113" s="59">
        <f t="shared" si="22"/>
        <v>309.64750250956661</v>
      </c>
    </row>
    <row r="114" spans="1:7" x14ac:dyDescent="0.25">
      <c r="A114" s="23">
        <v>54.444444444444443</v>
      </c>
      <c r="B114" s="8">
        <v>130</v>
      </c>
      <c r="C114" s="8">
        <v>0.1</v>
      </c>
      <c r="D114" s="56">
        <f t="shared" si="19"/>
        <v>-3.8953589301124909</v>
      </c>
      <c r="E114" s="57">
        <f t="shared" si="20"/>
        <v>1.2724510073967854E-5</v>
      </c>
      <c r="F114" s="58">
        <f t="shared" si="21"/>
        <v>29.792596103655196</v>
      </c>
      <c r="G114" s="59">
        <f t="shared" si="22"/>
        <v>205.41279991163771</v>
      </c>
    </row>
    <row r="115" spans="1:7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798.85052363348075</v>
      </c>
      <c r="G115" s="67">
        <f t="shared" si="22"/>
        <v>5507.8826363271774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9E10-C168-4735-91F5-1974DB58E866}">
  <dimension ref="A1:CJ115"/>
  <sheetViews>
    <sheetView view="pageBreakPreview" topLeftCell="A19" zoomScale="80" zoomScaleNormal="70" zoomScaleSheetLayoutView="80" workbookViewId="0">
      <selection activeCell="C23" sqref="C23:H32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8.5703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133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2.6469999999999998</v>
      </c>
      <c r="F14" s="8" t="s">
        <v>14</v>
      </c>
      <c r="G14" s="60" t="s">
        <v>122</v>
      </c>
      <c r="H14" s="16">
        <v>7.3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5.77</v>
      </c>
      <c r="F15" s="8" t="s">
        <v>24</v>
      </c>
      <c r="G15" s="60" t="s">
        <v>114</v>
      </c>
      <c r="H15" s="16">
        <v>6.9</v>
      </c>
      <c r="M15" s="4" t="str">
        <f t="shared" ref="M15:N17" si="0">G14</f>
        <v>1C</v>
      </c>
      <c r="N15" s="18">
        <f t="shared" si="0"/>
        <v>7.3</v>
      </c>
      <c r="O15" s="4">
        <f>$B$14</f>
        <v>2.6469999999999998</v>
      </c>
      <c r="P15" s="20">
        <f>$B$15</f>
        <v>5.77</v>
      </c>
      <c r="Q15" s="21">
        <f>$B$16</f>
        <v>2.4590000000000001</v>
      </c>
      <c r="R15" s="21">
        <f t="shared" ref="R15:R17" si="1">((Q15*(N15-100))/-100)</f>
        <v>2.2794930000000004</v>
      </c>
      <c r="S15" s="18">
        <f t="shared" ref="S15:S17" si="2">100-((R15*(100-P15))/O15)</f>
        <v>18.852804914998089</v>
      </c>
      <c r="T15" s="18">
        <f t="shared" ref="T15:T17" si="3">100*((S15-N15)/S15)</f>
        <v>61.27897131003256</v>
      </c>
      <c r="U15" s="18"/>
      <c r="W15" s="18"/>
    </row>
    <row r="16" spans="1:23" x14ac:dyDescent="0.25">
      <c r="A16" s="8" t="s">
        <v>25</v>
      </c>
      <c r="B16" s="22">
        <v>2.4590000000000001</v>
      </c>
      <c r="F16" s="8" t="s">
        <v>26</v>
      </c>
      <c r="G16" s="60" t="s">
        <v>134</v>
      </c>
      <c r="H16" s="16">
        <v>6.5</v>
      </c>
      <c r="M16" s="4" t="str">
        <f t="shared" si="0"/>
        <v>2A</v>
      </c>
      <c r="N16" s="18">
        <f t="shared" si="0"/>
        <v>6.9</v>
      </c>
      <c r="O16" s="4">
        <f t="shared" ref="O16:O17" si="4">$B$14</f>
        <v>2.6469999999999998</v>
      </c>
      <c r="P16" s="20">
        <f t="shared" ref="P16:P17" si="5">$B$15</f>
        <v>5.77</v>
      </c>
      <c r="Q16" s="21">
        <f t="shared" ref="Q16:Q17" si="6">$B$16</f>
        <v>2.4590000000000001</v>
      </c>
      <c r="R16" s="21">
        <f t="shared" si="1"/>
        <v>2.2893289999999999</v>
      </c>
      <c r="S16" s="18">
        <f t="shared" si="2"/>
        <v>18.502655205893461</v>
      </c>
      <c r="T16" s="18">
        <f t="shared" si="3"/>
        <v>62.70805501578922</v>
      </c>
      <c r="U16" s="18"/>
    </row>
    <row r="17" spans="1:88" x14ac:dyDescent="0.25">
      <c r="A17" s="8" t="s">
        <v>21</v>
      </c>
      <c r="B17" s="23">
        <f>AVERAGE(S15:S17)</f>
        <v>18.502655205893447</v>
      </c>
      <c r="M17" s="4" t="str">
        <f t="shared" si="0"/>
        <v>3A</v>
      </c>
      <c r="N17" s="18">
        <f t="shared" si="0"/>
        <v>6.5</v>
      </c>
      <c r="O17" s="4">
        <f t="shared" si="4"/>
        <v>2.6469999999999998</v>
      </c>
      <c r="P17" s="20">
        <f t="shared" si="5"/>
        <v>5.77</v>
      </c>
      <c r="Q17" s="21">
        <f t="shared" si="6"/>
        <v>2.4590000000000001</v>
      </c>
      <c r="R17" s="21">
        <f t="shared" si="1"/>
        <v>2.2991650000000003</v>
      </c>
      <c r="S17" s="18">
        <f t="shared" si="2"/>
        <v>18.152505496788791</v>
      </c>
      <c r="T17" s="18">
        <f t="shared" si="3"/>
        <v>64.192270862279258</v>
      </c>
    </row>
    <row r="18" spans="1:88" x14ac:dyDescent="0.25">
      <c r="A18" s="8" t="s">
        <v>22</v>
      </c>
      <c r="B18" s="23">
        <f>AVERAGE(T15:T17)</f>
        <v>62.72643239603368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707.05897279875001</v>
      </c>
      <c r="D23" s="16">
        <v>16.37</v>
      </c>
      <c r="E23" s="16">
        <v>766.66948312086004</v>
      </c>
      <c r="F23" s="16">
        <v>16.260000000000002</v>
      </c>
      <c r="G23" s="16">
        <v>764.05880383668</v>
      </c>
      <c r="H23" s="16">
        <v>16.579999999999998</v>
      </c>
      <c r="M23" s="4">
        <v>20</v>
      </c>
      <c r="N23" s="29">
        <f>(20+(B18*3*145000)/(B17))^0.58/(650+((B18*3*145000)/B17)^0.58)</f>
        <v>0.85338289674634493</v>
      </c>
      <c r="O23" s="18">
        <f>(N23*(4200000*(1-B17/100)+3*145000*(B17*B18)/10000)+(1-N23)/((1-B17/100)/4200000+B17/(3*B18*145000)))/1000</f>
        <v>3132.2301666106955</v>
      </c>
      <c r="P23" s="29">
        <f>LOG10(O23)</f>
        <v>3.4958536679504508</v>
      </c>
      <c r="R23" s="30">
        <f>(1/6*T38)^0.5</f>
        <v>5.1567962528425833E-2</v>
      </c>
      <c r="S23" s="30">
        <f>1-R23^2/Q38^2*12/6</f>
        <v>0.98071629169106023</v>
      </c>
      <c r="T23" s="30">
        <f>(1-8*R23^2/9*Q38^2)</f>
        <v>0.99934806122817432</v>
      </c>
    </row>
    <row r="24" spans="1:88" x14ac:dyDescent="0.25">
      <c r="A24" s="8">
        <v>4</v>
      </c>
      <c r="B24" s="23">
        <v>1</v>
      </c>
      <c r="C24" s="16">
        <v>996.4092601287</v>
      </c>
      <c r="D24" s="16">
        <v>14.17</v>
      </c>
      <c r="E24" s="16">
        <v>1081.8364878165901</v>
      </c>
      <c r="F24" s="16">
        <v>13.78</v>
      </c>
      <c r="G24" s="16">
        <v>1088.0731105510199</v>
      </c>
      <c r="H24" s="16">
        <v>13.97</v>
      </c>
    </row>
    <row r="25" spans="1:88" x14ac:dyDescent="0.25">
      <c r="A25" s="8">
        <v>4</v>
      </c>
      <c r="B25" s="23">
        <v>10</v>
      </c>
      <c r="C25" s="16">
        <v>1362.33947312793</v>
      </c>
      <c r="D25" s="16">
        <v>11.84</v>
      </c>
      <c r="E25" s="16">
        <v>1471.2628143734401</v>
      </c>
      <c r="F25" s="16">
        <v>11.65</v>
      </c>
      <c r="G25" s="16">
        <v>1489.1024561486699</v>
      </c>
      <c r="H25" s="16">
        <v>11.79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189.85439905509</v>
      </c>
      <c r="D26" s="16">
        <v>26.78</v>
      </c>
      <c r="E26" s="16">
        <v>203.052833214</v>
      </c>
      <c r="F26" s="16">
        <v>27.33</v>
      </c>
      <c r="G26" s="16">
        <v>204.06809738007001</v>
      </c>
      <c r="H26" s="16">
        <v>27.58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334.60206158906999</v>
      </c>
      <c r="D27" s="16">
        <v>24.68</v>
      </c>
      <c r="E27" s="16">
        <v>357.80809967067</v>
      </c>
      <c r="F27" s="16">
        <v>25.18</v>
      </c>
      <c r="G27" s="16">
        <v>361.72411859694</v>
      </c>
      <c r="H27" s="16">
        <v>25.3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571.73876323542004</v>
      </c>
      <c r="D28" s="16">
        <v>21</v>
      </c>
      <c r="E28" s="16">
        <v>611.76917892617996</v>
      </c>
      <c r="F28" s="16">
        <v>21.63</v>
      </c>
      <c r="G28" s="16">
        <v>622.64700927693002</v>
      </c>
      <c r="H28" s="16">
        <v>21.42</v>
      </c>
      <c r="I28" s="3"/>
      <c r="J28" s="3"/>
      <c r="K28" s="3"/>
      <c r="L28" s="3"/>
      <c r="M28" s="32">
        <f t="shared" ref="M28:N37" si="7">A23</f>
        <v>4</v>
      </c>
      <c r="N28" s="32">
        <f t="shared" si="7"/>
        <v>0.1</v>
      </c>
      <c r="O28" s="33">
        <f>C40</f>
        <v>745.92908658543001</v>
      </c>
      <c r="P28" s="33">
        <f>E40</f>
        <v>16.403333333333332</v>
      </c>
      <c r="Q28" s="34">
        <f>LOG10(O28)</f>
        <v>2.8726975422602004</v>
      </c>
      <c r="R28" s="34">
        <f t="shared" ref="R28:R37" si="8">$N$42+($P$23-$N$42)/(1+EXP($O$42+$P$42*(LOG10(N28)+$Q$42/19.147142*(1/(273.2+M28)-1/($M$23+273.2)))))</f>
        <v>2.8042233343736553</v>
      </c>
      <c r="S28" s="34">
        <f>Q28-R28</f>
        <v>6.8474207886545013E-2</v>
      </c>
      <c r="T28" s="35">
        <f>S28^2</f>
        <v>4.6887171456897834E-3</v>
      </c>
      <c r="U28" s="34">
        <f>$Q$42/19.147143*(1/(M28+273.15)-1/($M$23+273.15))</f>
        <v>1.8523009413371316</v>
      </c>
      <c r="V28" s="34">
        <f>LOG10(N28)+U28</f>
        <v>0.85230094133713163</v>
      </c>
      <c r="W28" s="34">
        <f>10^V28</f>
        <v>7.1170651489641639</v>
      </c>
    </row>
    <row r="29" spans="1:88" s="4" customFormat="1" x14ac:dyDescent="0.25">
      <c r="A29" s="15">
        <v>40</v>
      </c>
      <c r="B29" s="36">
        <v>0.01</v>
      </c>
      <c r="C29" s="16">
        <v>38.594542084461004</v>
      </c>
      <c r="D29" s="16">
        <v>24.08</v>
      </c>
      <c r="E29" s="16">
        <v>38.667060953466006</v>
      </c>
      <c r="F29" s="16">
        <v>23.95</v>
      </c>
      <c r="G29" s="16">
        <v>38.173932644231996</v>
      </c>
      <c r="H29" s="16">
        <v>25.44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1055.4396194987701</v>
      </c>
      <c r="P29" s="33">
        <f>E39</f>
        <v>13.973333333333334</v>
      </c>
      <c r="Q29" s="34">
        <f t="shared" ref="Q29:Q37" si="9">LOG10(O29)</f>
        <v>3.0234333928605617</v>
      </c>
      <c r="R29" s="34">
        <f t="shared" si="8"/>
        <v>3.0040502723023614</v>
      </c>
      <c r="S29" s="34">
        <f t="shared" ref="S29:S37" si="10">Q29-R29</f>
        <v>1.938312055820024E-2</v>
      </c>
      <c r="T29" s="35">
        <f t="shared" ref="T29:T37" si="11">S29^2</f>
        <v>3.7570536257372478E-4</v>
      </c>
      <c r="U29" s="34">
        <f t="shared" ref="U29:U37" si="12">$Q$42/19.147143*(1/(M29+273.15)-1/($M$23+273.15))</f>
        <v>1.8523009413371316</v>
      </c>
      <c r="V29" s="34">
        <f t="shared" ref="V29:V37" si="13">LOG10(N29)+U29</f>
        <v>1.8523009413371316</v>
      </c>
      <c r="W29" s="34">
        <f t="shared" ref="W29:W37" si="14">10^V29</f>
        <v>71.170651489641642</v>
      </c>
    </row>
    <row r="30" spans="1:88" s="4" customFormat="1" x14ac:dyDescent="0.25">
      <c r="A30" s="15">
        <v>40</v>
      </c>
      <c r="B30" s="23">
        <v>0.1</v>
      </c>
      <c r="C30" s="16">
        <v>62.931874522538997</v>
      </c>
      <c r="D30" s="16">
        <v>27.66</v>
      </c>
      <c r="E30" s="16">
        <v>62.192182058688005</v>
      </c>
      <c r="F30" s="16">
        <v>27.81</v>
      </c>
      <c r="G30" s="16">
        <v>62.873859427334999</v>
      </c>
      <c r="H30" s="16">
        <v>28.65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1440.9015812166799</v>
      </c>
      <c r="P30" s="33">
        <f>E38</f>
        <v>11.76</v>
      </c>
      <c r="Q30" s="34">
        <f t="shared" si="9"/>
        <v>3.1586343179449958</v>
      </c>
      <c r="R30" s="34">
        <f t="shared" si="8"/>
        <v>3.1573203946509976</v>
      </c>
      <c r="S30" s="34">
        <f t="shared" si="10"/>
        <v>1.3139232939982648E-3</v>
      </c>
      <c r="T30" s="35">
        <f t="shared" si="11"/>
        <v>1.7263944225112507E-6</v>
      </c>
      <c r="U30" s="34">
        <f t="shared" si="12"/>
        <v>1.8523009413371316</v>
      </c>
      <c r="V30" s="34">
        <f t="shared" si="13"/>
        <v>2.8523009413371314</v>
      </c>
      <c r="W30" s="34">
        <f t="shared" si="14"/>
        <v>711.70651489641659</v>
      </c>
    </row>
    <row r="31" spans="1:88" s="4" customFormat="1" x14ac:dyDescent="0.25">
      <c r="A31" s="15">
        <v>40</v>
      </c>
      <c r="B31" s="23">
        <v>1</v>
      </c>
      <c r="C31" s="16">
        <v>114.101188492467</v>
      </c>
      <c r="D31" s="16">
        <v>28.58</v>
      </c>
      <c r="E31" s="16">
        <v>112.81035262417799</v>
      </c>
      <c r="F31" s="16">
        <v>29.87</v>
      </c>
      <c r="G31" s="16">
        <v>117.10346966927399</v>
      </c>
      <c r="H31" s="16">
        <v>29.87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198.99177654972002</v>
      </c>
      <c r="P31" s="33">
        <f>E43</f>
        <v>27.23</v>
      </c>
      <c r="Q31" s="34">
        <f t="shared" si="9"/>
        <v>2.2988351293098432</v>
      </c>
      <c r="R31" s="34">
        <f t="shared" si="8"/>
        <v>2.3341345717566995</v>
      </c>
      <c r="S31" s="34">
        <f t="shared" si="10"/>
        <v>-3.5299442446856233E-2</v>
      </c>
      <c r="T31" s="35">
        <f t="shared" si="11"/>
        <v>1.2460506370589155E-3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15">
        <v>40</v>
      </c>
      <c r="B32" s="23">
        <v>10</v>
      </c>
      <c r="C32" s="16">
        <v>231.91534307799</v>
      </c>
      <c r="D32" s="16">
        <v>27.21</v>
      </c>
      <c r="E32" s="16">
        <v>237.57181486037999</v>
      </c>
      <c r="F32" s="16">
        <v>28.4</v>
      </c>
      <c r="G32" s="16">
        <v>247.28934330704999</v>
      </c>
      <c r="H32" s="16">
        <v>28.03</v>
      </c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351.37809328556</v>
      </c>
      <c r="P32" s="33">
        <f>E42</f>
        <v>25.053333333333331</v>
      </c>
      <c r="Q32" s="34">
        <f t="shared" si="9"/>
        <v>2.5457746818554443</v>
      </c>
      <c r="R32" s="34">
        <f t="shared" si="8"/>
        <v>2.6002133729258414</v>
      </c>
      <c r="S32" s="34">
        <f t="shared" si="10"/>
        <v>-5.4438691070397116E-2</v>
      </c>
      <c r="T32" s="35">
        <f t="shared" si="11"/>
        <v>2.9635710854581348E-3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602.05165047951004</v>
      </c>
      <c r="P33" s="33">
        <f>E41</f>
        <v>21.349999999999998</v>
      </c>
      <c r="Q33" s="34">
        <f t="shared" si="9"/>
        <v>2.7796337513176295</v>
      </c>
      <c r="R33" s="34">
        <f t="shared" si="8"/>
        <v>2.8367662803853833</v>
      </c>
      <c r="S33" s="34">
        <f t="shared" si="10"/>
        <v>-5.713252906775379E-2</v>
      </c>
      <c r="T33" s="35">
        <f t="shared" si="11"/>
        <v>3.2641258776777318E-3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0.01</v>
      </c>
      <c r="O34" s="33">
        <f>C47</f>
        <v>38.478511894053007</v>
      </c>
      <c r="P34" s="33">
        <f>E47</f>
        <v>24.49</v>
      </c>
      <c r="Q34" s="34">
        <f t="shared" si="9"/>
        <v>1.5852182679214395</v>
      </c>
      <c r="R34" s="34">
        <f t="shared" si="8"/>
        <v>1.5891847803244228</v>
      </c>
      <c r="S34" s="34">
        <f t="shared" si="10"/>
        <v>-3.966512402983291E-3</v>
      </c>
      <c r="T34" s="35">
        <f t="shared" si="11"/>
        <v>1.5733220643020283E-5</v>
      </c>
      <c r="U34" s="34">
        <f t="shared" si="12"/>
        <v>-2.0491984907056802</v>
      </c>
      <c r="V34" s="34">
        <f t="shared" si="13"/>
        <v>-4.0491984907056802</v>
      </c>
      <c r="W34" s="34">
        <f t="shared" si="14"/>
        <v>8.9289729912646633E-5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0.1</v>
      </c>
      <c r="O35" s="33">
        <f>C46</f>
        <v>62.665972002853998</v>
      </c>
      <c r="P35" s="33">
        <f>E46</f>
        <v>28.040000000000003</v>
      </c>
      <c r="Q35" s="34">
        <f t="shared" si="9"/>
        <v>1.7970317803365798</v>
      </c>
      <c r="R35" s="34">
        <f t="shared" si="8"/>
        <v>1.7995011110892083</v>
      </c>
      <c r="S35" s="34">
        <f t="shared" si="10"/>
        <v>-2.4693307526284514E-3</v>
      </c>
      <c r="T35" s="35">
        <f t="shared" si="11"/>
        <v>6.097594365876594E-6</v>
      </c>
      <c r="U35" s="34">
        <f t="shared" si="12"/>
        <v>-2.0491984907056802</v>
      </c>
      <c r="V35" s="34">
        <f t="shared" si="13"/>
        <v>-3.0491984907056802</v>
      </c>
      <c r="W35" s="34">
        <f t="shared" si="14"/>
        <v>8.9289729912646733E-4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</v>
      </c>
      <c r="O36" s="33">
        <f>C45</f>
        <v>114.67167026197301</v>
      </c>
      <c r="P36" s="33">
        <f>E45</f>
        <v>29.44</v>
      </c>
      <c r="Q36" s="34">
        <f t="shared" si="9"/>
        <v>2.0594561383148444</v>
      </c>
      <c r="R36" s="34">
        <f t="shared" si="8"/>
        <v>2.0495050463732709</v>
      </c>
      <c r="S36" s="34">
        <f t="shared" si="10"/>
        <v>9.9510919415735088E-3</v>
      </c>
      <c r="T36" s="35">
        <f t="shared" si="11"/>
        <v>9.9024230829649224E-5</v>
      </c>
      <c r="U36" s="34">
        <f t="shared" si="12"/>
        <v>-2.0491984907056802</v>
      </c>
      <c r="V36" s="34">
        <f t="shared" si="13"/>
        <v>-2.0491984907056802</v>
      </c>
      <c r="W36" s="34">
        <f t="shared" si="14"/>
        <v>8.9289729912646748E-3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M37" s="32">
        <f t="shared" si="7"/>
        <v>40</v>
      </c>
      <c r="N37" s="32">
        <f t="shared" si="7"/>
        <v>10</v>
      </c>
      <c r="O37" s="33">
        <f>C44</f>
        <v>238.92550041513996</v>
      </c>
      <c r="P37" s="33">
        <f>E44</f>
        <v>27.88</v>
      </c>
      <c r="Q37" s="34">
        <f t="shared" si="9"/>
        <v>2.3782625042855083</v>
      </c>
      <c r="R37" s="34">
        <f t="shared" si="8"/>
        <v>2.3208623561386661</v>
      </c>
      <c r="S37" s="34">
        <f t="shared" si="10"/>
        <v>5.7400148146842245E-2</v>
      </c>
      <c r="T37" s="35">
        <f t="shared" si="11"/>
        <v>3.2947770072794371E-3</v>
      </c>
      <c r="U37" s="34">
        <f t="shared" si="12"/>
        <v>-2.0491984907056802</v>
      </c>
      <c r="V37" s="34">
        <f t="shared" si="13"/>
        <v>-1.0491984907056802</v>
      </c>
      <c r="W37" s="34">
        <f t="shared" si="14"/>
        <v>8.9289729912646776E-2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1440.9015812166799</v>
      </c>
      <c r="D38" s="23">
        <f>(STDEV(C25,E25,G25)/C38)*100</f>
        <v>4.7622265425691177</v>
      </c>
      <c r="E38" s="23">
        <f>AVERAGE(D25,F25,H25)</f>
        <v>11.76</v>
      </c>
      <c r="F38" s="23">
        <f>STDEV(D25,F25,H25)</f>
        <v>9.8488578017960668E-2</v>
      </c>
      <c r="G38" s="3"/>
      <c r="H38" s="3"/>
      <c r="I38" s="26" t="s">
        <v>32</v>
      </c>
      <c r="J38" s="8">
        <v>20</v>
      </c>
      <c r="K38" s="3"/>
      <c r="L38" s="3"/>
      <c r="P38" s="32" t="s">
        <v>68</v>
      </c>
      <c r="Q38" s="35">
        <f>STDEV(Q28:Q37)</f>
        <v>0.52516973915762433</v>
      </c>
      <c r="S38" s="32" t="s">
        <v>69</v>
      </c>
      <c r="T38" s="35">
        <f>SUM(T28:T37)</f>
        <v>1.5955528555998785E-2</v>
      </c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1055.4396194987701</v>
      </c>
      <c r="D39" s="23">
        <f>(STDEV(C24,E24,G24)/C39)*100</f>
        <v>4.8526515836701023</v>
      </c>
      <c r="E39" s="23">
        <f>AVERAGE(D24,F24,H24)</f>
        <v>13.973333333333334</v>
      </c>
      <c r="F39" s="23">
        <f>STDEV(D24,F24,H24)</f>
        <v>0.19502136635080125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745.92908658543001</v>
      </c>
      <c r="D40" s="23">
        <f>(STDEV(C23,E23,G23)/C40)*100</f>
        <v>4.5162208890242823</v>
      </c>
      <c r="E40" s="23">
        <f>AVERAGE(D23,F23,H23)</f>
        <v>16.403333333333332</v>
      </c>
      <c r="F40" s="23">
        <f>STDEV(D23,F23,H23)</f>
        <v>0.16258331197676093</v>
      </c>
      <c r="G40" s="3"/>
      <c r="H40" s="3"/>
      <c r="I40" s="12" t="s">
        <v>94</v>
      </c>
      <c r="J40" s="59">
        <f>G115</f>
        <v>4057.464489151565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602.05165047951004</v>
      </c>
      <c r="D41" s="23">
        <f>(STDEV(C28,E28,G28)/C41)*100</f>
        <v>4.4529794452965294</v>
      </c>
      <c r="E41" s="23">
        <f>AVERAGE(D28,F28,H28)</f>
        <v>21.349999999999998</v>
      </c>
      <c r="F41" s="23">
        <f>STDEV(D28,F28,H28)</f>
        <v>0.32078029864690855</v>
      </c>
      <c r="G41" s="3"/>
      <c r="H41" s="3"/>
      <c r="I41" s="69" t="s">
        <v>35</v>
      </c>
      <c r="J41" s="62">
        <f>AVERAGE(E41:E42)</f>
        <v>23.201666666666664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351.37809328556</v>
      </c>
      <c r="D42" s="23">
        <f>(STDEV(C27,E27,G27)/C42)*100</f>
        <v>4.1720918720808031</v>
      </c>
      <c r="E42" s="23">
        <f>AVERAGE(D27,F27,H27)</f>
        <v>25.053333333333331</v>
      </c>
      <c r="F42" s="23">
        <f>STDEV(D27,F27,H27)</f>
        <v>0.32883633213702768</v>
      </c>
      <c r="G42" s="3"/>
      <c r="H42" s="3"/>
      <c r="I42" s="32" t="s">
        <v>105</v>
      </c>
      <c r="J42" s="70">
        <f>(COS(RADIANS(J41)))^2</f>
        <v>0.84478870597876476</v>
      </c>
      <c r="K42" s="3"/>
      <c r="L42" s="3"/>
      <c r="M42" s="38" t="s">
        <v>78</v>
      </c>
      <c r="N42" s="39">
        <f>N43</f>
        <v>1.0556226247010521</v>
      </c>
      <c r="O42" s="39">
        <f>O43*-1</f>
        <v>-0.54497539043848997</v>
      </c>
      <c r="P42" s="39">
        <f>P43*-1</f>
        <v>-0.44917941769292608</v>
      </c>
      <c r="Q42" s="40">
        <f>Q43*200000</f>
        <v>180094.44906384023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198.99177654972002</v>
      </c>
      <c r="D43" s="23">
        <f>(STDEV(C26,E26,G26)/C43)*100</f>
        <v>3.9848212632176834</v>
      </c>
      <c r="E43" s="23">
        <f>AVERAGE(D26,F26,H26)</f>
        <v>27.23</v>
      </c>
      <c r="F43" s="23">
        <f>STDEV(D26,F26,H26)</f>
        <v>0.40926763859362092</v>
      </c>
      <c r="G43" s="3"/>
      <c r="H43" s="3"/>
      <c r="I43" s="32" t="s">
        <v>106</v>
      </c>
      <c r="J43" s="70">
        <f>SIN(RADIANS(J41))</f>
        <v>0.39396864598751424</v>
      </c>
      <c r="K43" s="3"/>
      <c r="L43" s="3"/>
      <c r="M43" s="38" t="s">
        <v>80</v>
      </c>
      <c r="N43" s="39">
        <v>1.0556226247010521</v>
      </c>
      <c r="O43" s="39">
        <v>0.54497539043848997</v>
      </c>
      <c r="P43" s="39">
        <v>0.44917941769292608</v>
      </c>
      <c r="Q43" s="41">
        <v>0.90047224531920111</v>
      </c>
      <c r="R43" s="4" t="s">
        <v>81</v>
      </c>
    </row>
    <row r="44" spans="1:23" s="4" customFormat="1" ht="18" x14ac:dyDescent="0.35">
      <c r="A44" s="72">
        <f>A30</f>
        <v>40</v>
      </c>
      <c r="B44" s="23">
        <f>B32</f>
        <v>10</v>
      </c>
      <c r="C44" s="23">
        <f>AVERAGE(C32,E32,G32)</f>
        <v>238.92550041513996</v>
      </c>
      <c r="D44" s="23">
        <f>(STDEV(C32,E32,G32)/C44)*100</f>
        <v>3.2545210085794993</v>
      </c>
      <c r="E44" s="23">
        <f>AVERAGE(D32,F32,H32)</f>
        <v>27.88</v>
      </c>
      <c r="F44" s="23">
        <f>STDEV(D32,F32,H32)</f>
        <v>0.60901559914340353</v>
      </c>
      <c r="G44" s="3"/>
      <c r="H44" s="3"/>
      <c r="I44" s="12" t="s">
        <v>107</v>
      </c>
      <c r="J44" s="59">
        <f>(J40*J42)/J43</f>
        <v>8700.4390076609598</v>
      </c>
      <c r="K44" s="3"/>
      <c r="L44" s="3"/>
    </row>
    <row r="45" spans="1:23" s="4" customFormat="1" x14ac:dyDescent="0.25">
      <c r="A45" s="72">
        <f>A31</f>
        <v>40</v>
      </c>
      <c r="B45" s="23">
        <f>B31</f>
        <v>1</v>
      </c>
      <c r="C45" s="23">
        <f>AVERAGE(C31,E31,G31)</f>
        <v>114.67167026197301</v>
      </c>
      <c r="D45" s="23">
        <f>(STDEV(C31,E31,G31)/C45)*100</f>
        <v>1.9208583181023569</v>
      </c>
      <c r="E45" s="23">
        <f>AVERAGE(D31,F31,H31)</f>
        <v>29.44</v>
      </c>
      <c r="F45" s="23">
        <f>STDEV(D31,F31,H31)</f>
        <v>0.74478184725461882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72">
        <f>A32</f>
        <v>40</v>
      </c>
      <c r="B46" s="23">
        <f>B30</f>
        <v>0.1</v>
      </c>
      <c r="C46" s="23">
        <f>AVERAGE(C30,E30,G30)</f>
        <v>62.665972002853998</v>
      </c>
      <c r="D46" s="23">
        <f>(STDEV(C30,E30,G30)/C46)*100</f>
        <v>0.6563980333715661</v>
      </c>
      <c r="E46" s="23">
        <f>AVERAGE(D30,F30,H30)</f>
        <v>28.040000000000003</v>
      </c>
      <c r="F46" s="23">
        <f>STDEV(D30,F30,H30)</f>
        <v>0.53357286287816341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3.4575473466178837</v>
      </c>
      <c r="O46" s="44">
        <f t="shared" ref="O46" si="17">10^N46</f>
        <v>2867.7900039062479</v>
      </c>
    </row>
    <row r="47" spans="1:23" s="4" customFormat="1" x14ac:dyDescent="0.25">
      <c r="A47" s="72">
        <f>A29</f>
        <v>40</v>
      </c>
      <c r="B47" s="36">
        <f>B29</f>
        <v>0.01</v>
      </c>
      <c r="C47" s="23">
        <f>AVERAGE(C29,E29,G29)</f>
        <v>38.478511894053007</v>
      </c>
      <c r="D47" s="23">
        <f>(STDEV(C29,E29,G29)/C47)*100</f>
        <v>0.6919547587895275</v>
      </c>
      <c r="E47" s="23">
        <f>AVERAGE(D29,F29,H29)</f>
        <v>24.49</v>
      </c>
      <c r="F47" s="23">
        <f>STDEV(D29,F29,H29)</f>
        <v>0.82528782857861305</v>
      </c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3.4363562653833615</v>
      </c>
      <c r="O47" s="44">
        <f>10^N47</f>
        <v>2731.2173673415418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3.4038911003730368</v>
      </c>
      <c r="O48" s="44">
        <f>10^N48</f>
        <v>2534.4930250190905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3.3547609548844903</v>
      </c>
      <c r="O49" s="44">
        <f t="shared" ref="O49:O62" si="18">10^N49</f>
        <v>2263.398141169157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3.281776295586031</v>
      </c>
      <c r="O50" s="44">
        <f t="shared" si="18"/>
        <v>1913.2701486711535</v>
      </c>
    </row>
    <row r="51" spans="1:15" s="4" customFormat="1" x14ac:dyDescent="0.25">
      <c r="A51" s="24">
        <f>O23</f>
        <v>3132.2301666106955</v>
      </c>
      <c r="B51" s="45">
        <f>10^N42</f>
        <v>11.366391867665223</v>
      </c>
      <c r="C51" s="46">
        <f>O42</f>
        <v>-0.54497539043848997</v>
      </c>
      <c r="D51" s="46">
        <f>P42</f>
        <v>-0.44917941769292608</v>
      </c>
      <c r="E51" s="47">
        <f>Q42</f>
        <v>180094.44906384023</v>
      </c>
      <c r="F51" s="48">
        <f>S23</f>
        <v>0.98071629169106023</v>
      </c>
      <c r="G51" s="45">
        <f>R23/Q38</f>
        <v>9.8192943506495975E-2</v>
      </c>
      <c r="H51" s="3"/>
      <c r="I51" s="3"/>
      <c r="J51" s="3"/>
      <c r="K51" s="3"/>
      <c r="L51" s="3"/>
      <c r="M51" s="43">
        <v>1000</v>
      </c>
      <c r="N51" s="21">
        <f t="shared" si="16"/>
        <v>3.1762855713663303</v>
      </c>
      <c r="O51" s="44">
        <f t="shared" si="18"/>
        <v>1500.6712811061395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3.0296974163359831</v>
      </c>
      <c r="O52" s="44">
        <f t="shared" si="18"/>
        <v>1070.7730113525381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2.8367662803853833</v>
      </c>
      <c r="O53" s="44">
        <f t="shared" si="18"/>
        <v>686.6987872180863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2.6002133729258414</v>
      </c>
      <c r="O54" s="44">
        <f t="shared" si="18"/>
        <v>398.30281237245771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2.3341345717566995</v>
      </c>
      <c r="O55" s="44">
        <f t="shared" si="18"/>
        <v>215.84131177365214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2.0623696774247113</v>
      </c>
      <c r="O56" s="44">
        <f t="shared" si="18"/>
        <v>115.44355110624268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1.8108193854902705</v>
      </c>
      <c r="O57" s="44">
        <f t="shared" si="18"/>
        <v>64.687353785381944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1.5983268058604132</v>
      </c>
      <c r="O58" s="44">
        <f t="shared" si="18"/>
        <v>39.657634502862969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1.432259900489445</v>
      </c>
      <c r="O59" s="44">
        <f t="shared" si="18"/>
        <v>27.055770133306179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1.3101918576044178</v>
      </c>
      <c r="O60" s="44">
        <f t="shared" si="18"/>
        <v>20.426401193583754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1.2244493709306035</v>
      </c>
      <c r="O61" s="18">
        <f t="shared" si="18"/>
        <v>16.766768611548585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1.1661260677023926</v>
      </c>
      <c r="O62" s="18">
        <f t="shared" si="18"/>
        <v>14.659733242980028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S6-1 RH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3.6578374001972258</v>
      </c>
      <c r="E85" s="57">
        <f>10^(LOG(C85)+D85)</f>
        <v>113704.43613976988</v>
      </c>
      <c r="F85" s="58">
        <f>10^($N$42+($P$23-$N$42)/(1+EXP($O$42+$P$42*(LOG10(C85)+$Q$42/19.147142*(1/(273.2+A85)-1/($M$23+273.2))))))</f>
        <v>2280.2255212903779</v>
      </c>
      <c r="G85" s="59">
        <f>F85*6.89476</f>
        <v>15721.607715172046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3.6578374001972258</v>
      </c>
      <c r="E86" s="57">
        <f t="shared" ref="E86:E115" si="20">10^(LOG(C86)+D86)</f>
        <v>45481.774455907907</v>
      </c>
      <c r="F86" s="58">
        <f t="shared" ref="F86:F115" si="21">10^($N$42+($P$23-$N$42)/(1+EXP($O$42+$P$42*(LOG10(C86)+$Q$42/19.147142*(1/(273.2+A86)-1/($M$23+273.2))))))</f>
        <v>2151.7717876392667</v>
      </c>
      <c r="G86" s="59">
        <f t="shared" ref="G86:G115" si="22">F86*6.89476</f>
        <v>14835.95005054371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3.6578374001972258</v>
      </c>
      <c r="E87" s="57">
        <f t="shared" si="20"/>
        <v>22740.887227953994</v>
      </c>
      <c r="F87" s="58">
        <f t="shared" si="21"/>
        <v>2046.3344287648904</v>
      </c>
      <c r="G87" s="59">
        <f t="shared" si="22"/>
        <v>14108.984766071015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3.6578374001972258</v>
      </c>
      <c r="E88" s="57">
        <f t="shared" si="20"/>
        <v>4548.1774455907944</v>
      </c>
      <c r="F88" s="58">
        <f t="shared" si="21"/>
        <v>1776.9131815635758</v>
      </c>
      <c r="G88" s="59">
        <f t="shared" si="22"/>
        <v>12251.389927717279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3.6578374001972258</v>
      </c>
      <c r="E89" s="57">
        <f t="shared" si="20"/>
        <v>2274.0887227953949</v>
      </c>
      <c r="F89" s="58">
        <f t="shared" si="21"/>
        <v>1652.2641288043039</v>
      </c>
      <c r="G89" s="59">
        <f t="shared" si="22"/>
        <v>11391.964624714763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3.6578374001972258</v>
      </c>
      <c r="E90" s="57">
        <f t="shared" si="20"/>
        <v>454.8177445590793</v>
      </c>
      <c r="F90" s="58">
        <f t="shared" si="21"/>
        <v>1351.9053342054467</v>
      </c>
      <c r="G90" s="59">
        <f t="shared" si="22"/>
        <v>9321.0628220663457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1.7979651591472474</v>
      </c>
      <c r="E91" s="57">
        <f t="shared" si="20"/>
        <v>1570.0199386571257</v>
      </c>
      <c r="F91" s="58">
        <f t="shared" si="21"/>
        <v>1584.4068654131227</v>
      </c>
      <c r="G91" s="59">
        <f t="shared" si="22"/>
        <v>10924.10507937578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1.7979651591472474</v>
      </c>
      <c r="E92" s="57">
        <f t="shared" si="20"/>
        <v>628.00797546284969</v>
      </c>
      <c r="F92" s="58">
        <f t="shared" si="21"/>
        <v>1413.0054941913957</v>
      </c>
      <c r="G92" s="59">
        <f t="shared" si="22"/>
        <v>9742.3337611310671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1.7979651591472474</v>
      </c>
      <c r="E93" s="57">
        <f t="shared" si="20"/>
        <v>314.00398773142479</v>
      </c>
      <c r="F93" s="58">
        <f t="shared" si="21"/>
        <v>1282.4635795166516</v>
      </c>
      <c r="G93" s="59">
        <f t="shared" si="22"/>
        <v>8842.2785895082288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1.7979651591472474</v>
      </c>
      <c r="E94" s="57">
        <f t="shared" si="20"/>
        <v>62.800797546284954</v>
      </c>
      <c r="F94" s="58">
        <f t="shared" si="21"/>
        <v>987.18784212125979</v>
      </c>
      <c r="G94" s="59">
        <f t="shared" si="22"/>
        <v>6806.4232463439766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1.7979651591472474</v>
      </c>
      <c r="E95" s="57">
        <f t="shared" si="20"/>
        <v>31.400398773142474</v>
      </c>
      <c r="F95" s="58">
        <f t="shared" si="21"/>
        <v>867.72699984614155</v>
      </c>
      <c r="G95" s="59">
        <f t="shared" si="22"/>
        <v>5982.7694094591825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1.7979651591472474</v>
      </c>
      <c r="E96" s="57">
        <f t="shared" si="20"/>
        <v>6.2800797546284954</v>
      </c>
      <c r="F96" s="58">
        <f t="shared" si="21"/>
        <v>619.5381719923837</v>
      </c>
      <c r="G96" s="59">
        <f t="shared" si="22"/>
        <v>4271.5670067262072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-0.12115215283250312</v>
      </c>
      <c r="E97" s="57">
        <f t="shared" si="20"/>
        <v>18.914194724010837</v>
      </c>
      <c r="F97" s="58">
        <f t="shared" si="21"/>
        <v>784.96522832945175</v>
      </c>
      <c r="G97" s="59">
        <f t="shared" si="22"/>
        <v>5412.1468576767702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-0.12115215283250312</v>
      </c>
      <c r="E98" s="57">
        <f t="shared" si="20"/>
        <v>7.5656778896043271</v>
      </c>
      <c r="F98" s="58">
        <f t="shared" si="21"/>
        <v>646.05695816729599</v>
      </c>
      <c r="G98" s="59">
        <f t="shared" si="22"/>
        <v>4454.4076728935452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-0.12115215283250312</v>
      </c>
      <c r="E99" s="57">
        <f t="shared" si="20"/>
        <v>3.7828389448021649</v>
      </c>
      <c r="F99" s="58">
        <f t="shared" si="21"/>
        <v>551.67895035420361</v>
      </c>
      <c r="G99" s="59">
        <f t="shared" si="22"/>
        <v>3803.6939597441487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-0.12115215283250312</v>
      </c>
      <c r="E100" s="57">
        <f t="shared" si="20"/>
        <v>0.75656778896043275</v>
      </c>
      <c r="F100" s="58">
        <f t="shared" si="21"/>
        <v>370.81392416804789</v>
      </c>
      <c r="G100" s="59">
        <f t="shared" si="22"/>
        <v>2556.6730117968896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-0.12115215283250312</v>
      </c>
      <c r="E101" s="57">
        <f t="shared" si="20"/>
        <v>0.37828389448021638</v>
      </c>
      <c r="F101" s="58">
        <f t="shared" si="21"/>
        <v>309.22485690120556</v>
      </c>
      <c r="G101" s="59">
        <f t="shared" si="22"/>
        <v>2132.0311743681559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-0.12115215283250312</v>
      </c>
      <c r="E102" s="57">
        <f t="shared" si="20"/>
        <v>7.5656778896043275E-2</v>
      </c>
      <c r="F102" s="58">
        <f t="shared" si="21"/>
        <v>199.98073283413387</v>
      </c>
      <c r="G102" s="59">
        <f t="shared" si="22"/>
        <v>1378.8191575154729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-1.8345285126104547</v>
      </c>
      <c r="E103" s="57">
        <f t="shared" si="20"/>
        <v>0.36594135855643534</v>
      </c>
      <c r="F103" s="58">
        <f t="shared" si="21"/>
        <v>306.61770753388492</v>
      </c>
      <c r="G103" s="59">
        <f t="shared" si="22"/>
        <v>2114.0555051963283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-1.8345285126104547</v>
      </c>
      <c r="E104" s="57">
        <f t="shared" si="20"/>
        <v>0.14637654342257406</v>
      </c>
      <c r="F104" s="58">
        <f t="shared" si="21"/>
        <v>239.57330182720298</v>
      </c>
      <c r="G104" s="59">
        <f t="shared" si="22"/>
        <v>1651.8004185061259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-1.8345285126104547</v>
      </c>
      <c r="E105" s="57">
        <f t="shared" si="20"/>
        <v>7.3188271711287028E-2</v>
      </c>
      <c r="F105" s="58">
        <f t="shared" si="21"/>
        <v>198.24266630623552</v>
      </c>
      <c r="G105" s="59">
        <f t="shared" si="22"/>
        <v>1366.8356059415803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-1.8345285126104547</v>
      </c>
      <c r="E106" s="57">
        <f t="shared" si="20"/>
        <v>1.4637654342257405E-2</v>
      </c>
      <c r="F106" s="58">
        <f t="shared" si="21"/>
        <v>127.86651923170577</v>
      </c>
      <c r="G106" s="59">
        <f t="shared" si="22"/>
        <v>881.6089621379956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-1.8345285126104547</v>
      </c>
      <c r="E107" s="57">
        <f t="shared" si="20"/>
        <v>7.3188271711287006E-3</v>
      </c>
      <c r="F107" s="58">
        <f t="shared" si="21"/>
        <v>106.34585338280344</v>
      </c>
      <c r="G107" s="59">
        <f t="shared" si="22"/>
        <v>733.22913606961788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-1.8345285126104547</v>
      </c>
      <c r="E108" s="57">
        <f t="shared" si="20"/>
        <v>1.4637654342257401E-3</v>
      </c>
      <c r="F108" s="58">
        <f t="shared" si="21"/>
        <v>70.837604346082188</v>
      </c>
      <c r="G108" s="59">
        <f t="shared" si="22"/>
        <v>488.4082809411936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-3.373565696939977</v>
      </c>
      <c r="E109" s="57">
        <f t="shared" si="20"/>
        <v>1.0577287566036955E-2</v>
      </c>
      <c r="F109" s="58">
        <f t="shared" si="21"/>
        <v>117.25758703431538</v>
      </c>
      <c r="G109" s="59">
        <f t="shared" si="22"/>
        <v>808.46292078071622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-3.373565696939977</v>
      </c>
      <c r="E110" s="57">
        <f t="shared" si="20"/>
        <v>4.230915026414781E-3</v>
      </c>
      <c r="F110" s="58">
        <f t="shared" si="21"/>
        <v>92.27277297995488</v>
      </c>
      <c r="G110" s="59">
        <f t="shared" si="22"/>
        <v>636.1986242312737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-3.373565696939977</v>
      </c>
      <c r="E111" s="57">
        <f t="shared" si="20"/>
        <v>2.1154575132073888E-3</v>
      </c>
      <c r="F111" s="58">
        <f t="shared" si="21"/>
        <v>77.508700969016758</v>
      </c>
      <c r="G111" s="59">
        <f t="shared" si="22"/>
        <v>534.40389109313799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-3.373565696939977</v>
      </c>
      <c r="E112" s="57">
        <f t="shared" si="20"/>
        <v>4.2309150264147809E-4</v>
      </c>
      <c r="F112" s="58">
        <f t="shared" si="21"/>
        <v>53.266879327587176</v>
      </c>
      <c r="G112" s="59">
        <f t="shared" si="22"/>
        <v>367.26234891267495</v>
      </c>
    </row>
    <row r="113" spans="1:7" x14ac:dyDescent="0.25">
      <c r="A113" s="23">
        <v>54.444444444444443</v>
      </c>
      <c r="B113" s="8">
        <v>130</v>
      </c>
      <c r="C113" s="8">
        <v>0.5</v>
      </c>
      <c r="D113" s="56">
        <f t="shared" si="19"/>
        <v>-3.373565696939977</v>
      </c>
      <c r="E113" s="57">
        <f t="shared" si="20"/>
        <v>2.1154575132073899E-4</v>
      </c>
      <c r="F113" s="58">
        <f t="shared" si="21"/>
        <v>45.996253220103775</v>
      </c>
      <c r="G113" s="59">
        <f t="shared" si="22"/>
        <v>317.13312685184269</v>
      </c>
    </row>
    <row r="114" spans="1:7" x14ac:dyDescent="0.25">
      <c r="A114" s="23">
        <v>54.444444444444443</v>
      </c>
      <c r="B114" s="8">
        <v>130</v>
      </c>
      <c r="C114" s="8">
        <v>0.1</v>
      </c>
      <c r="D114" s="56">
        <f t="shared" si="19"/>
        <v>-3.373565696939977</v>
      </c>
      <c r="E114" s="57">
        <f t="shared" si="20"/>
        <v>4.2309150264147761E-5</v>
      </c>
      <c r="F114" s="58">
        <f t="shared" si="21"/>
        <v>33.962933339933763</v>
      </c>
      <c r="G114" s="59">
        <f t="shared" si="22"/>
        <v>234.1662742748417</v>
      </c>
    </row>
    <row r="115" spans="1:7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588.48523939217102</v>
      </c>
      <c r="G115" s="67">
        <f t="shared" si="22"/>
        <v>4057.464489151565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2585-2405-435F-850E-FD712591D9BA}">
  <dimension ref="A1:CJ115"/>
  <sheetViews>
    <sheetView view="pageBreakPreview" zoomScale="80" zoomScaleNormal="70" zoomScaleSheetLayoutView="80" workbookViewId="0">
      <selection activeCell="C23" sqref="C23:H32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8.5703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135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2.6469999999999998</v>
      </c>
      <c r="F14" s="8" t="s">
        <v>14</v>
      </c>
      <c r="G14" s="60" t="s">
        <v>112</v>
      </c>
      <c r="H14" s="16">
        <v>6.8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5.77</v>
      </c>
      <c r="F15" s="8" t="s">
        <v>24</v>
      </c>
      <c r="G15" s="60" t="s">
        <v>118</v>
      </c>
      <c r="H15" s="16">
        <v>6.6</v>
      </c>
      <c r="M15" s="4" t="str">
        <f t="shared" ref="M15:N17" si="0">G14</f>
        <v>3C</v>
      </c>
      <c r="N15" s="18">
        <f t="shared" si="0"/>
        <v>6.8</v>
      </c>
      <c r="O15" s="4">
        <f>$B$14</f>
        <v>2.6469999999999998</v>
      </c>
      <c r="P15" s="20">
        <f>$B$15</f>
        <v>5.77</v>
      </c>
      <c r="Q15" s="21">
        <f>$B$16</f>
        <v>2.46</v>
      </c>
      <c r="R15" s="21">
        <f t="shared" ref="R15:R17" si="1">((Q15*(N15-100))/-100)</f>
        <v>2.2927200000000001</v>
      </c>
      <c r="S15" s="18">
        <f t="shared" ref="S15:S17" si="2">100-((R15*(100-P15))/O15)</f>
        <v>18.381939705326772</v>
      </c>
      <c r="T15" s="18">
        <f t="shared" ref="T15:T17" si="3">100*((S15-N15)/S15)</f>
        <v>63.007168400027567</v>
      </c>
      <c r="U15" s="18"/>
      <c r="W15" s="18"/>
    </row>
    <row r="16" spans="1:23" x14ac:dyDescent="0.25">
      <c r="A16" s="8" t="s">
        <v>25</v>
      </c>
      <c r="B16" s="22">
        <v>2.46</v>
      </c>
      <c r="F16" s="8" t="s">
        <v>26</v>
      </c>
      <c r="G16" s="60" t="s">
        <v>136</v>
      </c>
      <c r="H16" s="16">
        <v>6.5</v>
      </c>
      <c r="M16" s="4" t="str">
        <f t="shared" si="0"/>
        <v>3D</v>
      </c>
      <c r="N16" s="18">
        <f t="shared" si="0"/>
        <v>6.6</v>
      </c>
      <c r="O16" s="4">
        <f t="shared" ref="O16:O17" si="4">$B$14</f>
        <v>2.6469999999999998</v>
      </c>
      <c r="P16" s="20">
        <f t="shared" ref="P16:P17" si="5">$B$15</f>
        <v>5.77</v>
      </c>
      <c r="Q16" s="21">
        <f t="shared" ref="Q16:Q17" si="6">$B$16</f>
        <v>2.46</v>
      </c>
      <c r="R16" s="21">
        <f t="shared" si="1"/>
        <v>2.2976399999999999</v>
      </c>
      <c r="S16" s="18">
        <f t="shared" si="2"/>
        <v>18.206793653192292</v>
      </c>
      <c r="T16" s="18">
        <f t="shared" si="3"/>
        <v>63.749795127475473</v>
      </c>
      <c r="U16" s="18"/>
    </row>
    <row r="17" spans="1:88" x14ac:dyDescent="0.25">
      <c r="A17" s="8" t="s">
        <v>21</v>
      </c>
      <c r="B17" s="23">
        <f>AVERAGE(S15:S17)</f>
        <v>18.235984661881364</v>
      </c>
      <c r="M17" s="4" t="str">
        <f t="shared" si="0"/>
        <v>4D</v>
      </c>
      <c r="N17" s="18">
        <f t="shared" si="0"/>
        <v>6.5</v>
      </c>
      <c r="O17" s="4">
        <f t="shared" si="4"/>
        <v>2.6469999999999998</v>
      </c>
      <c r="P17" s="20">
        <f t="shared" si="5"/>
        <v>5.77</v>
      </c>
      <c r="Q17" s="21">
        <f t="shared" si="6"/>
        <v>2.46</v>
      </c>
      <c r="R17" s="21">
        <f t="shared" si="1"/>
        <v>2.3001</v>
      </c>
      <c r="S17" s="18">
        <f t="shared" si="2"/>
        <v>18.119220627125031</v>
      </c>
      <c r="T17" s="18">
        <f t="shared" si="3"/>
        <v>64.126492337814469</v>
      </c>
    </row>
    <row r="18" spans="1:88" x14ac:dyDescent="0.25">
      <c r="A18" s="8" t="s">
        <v>22</v>
      </c>
      <c r="B18" s="23">
        <f>AVERAGE(T15:T17)</f>
        <v>63.627818621772498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859.63867318527002</v>
      </c>
      <c r="D23" s="16">
        <v>13.57</v>
      </c>
      <c r="E23" s="16">
        <v>908.08127768061001</v>
      </c>
      <c r="F23" s="16">
        <v>12.92</v>
      </c>
      <c r="G23" s="16">
        <v>944.05063670709001</v>
      </c>
      <c r="H23" s="16">
        <v>12.94</v>
      </c>
      <c r="M23" s="4">
        <v>20</v>
      </c>
      <c r="N23" s="29">
        <f>(20+(B18*3*145000)/(B17))^0.58/(650+((B18*3*145000)/B17)^0.58)</f>
        <v>0.85545944537022311</v>
      </c>
      <c r="O23" s="18">
        <f>(N23*(4200000*(1-B17/100)+3*145000*(B17*B18)/10000)+(1-N23)/((1-B17/100)/4200000+B17/(3*B18*145000)))/1000</f>
        <v>3150.2450699910455</v>
      </c>
      <c r="P23" s="29">
        <f>LOG10(O23)</f>
        <v>3.4983443405847687</v>
      </c>
      <c r="R23" s="30">
        <f>(1/6*T38)^0.5</f>
        <v>2.1646320720628848E-2</v>
      </c>
      <c r="S23" s="30">
        <f>1-R23^2/Q38^2*12/6</f>
        <v>0.99689038474633085</v>
      </c>
      <c r="T23" s="30">
        <f>(1-8*R23^2/9*Q38^2)</f>
        <v>0.99987448166474169</v>
      </c>
    </row>
    <row r="24" spans="1:88" x14ac:dyDescent="0.25">
      <c r="A24" s="8">
        <v>4</v>
      </c>
      <c r="B24" s="23">
        <v>1</v>
      </c>
      <c r="C24" s="16">
        <v>1150.1492624192999</v>
      </c>
      <c r="D24" s="16">
        <v>11.96</v>
      </c>
      <c r="E24" s="16">
        <v>1198.3017914386201</v>
      </c>
      <c r="F24" s="16">
        <v>11.36</v>
      </c>
      <c r="G24" s="16">
        <v>1243.2634902217201</v>
      </c>
      <c r="H24" s="16">
        <v>11.22</v>
      </c>
    </row>
    <row r="25" spans="1:88" x14ac:dyDescent="0.25">
      <c r="A25" s="8">
        <v>4</v>
      </c>
      <c r="B25" s="23">
        <v>10</v>
      </c>
      <c r="C25" s="16">
        <v>1511.43826780221</v>
      </c>
      <c r="D25" s="16">
        <v>10.64</v>
      </c>
      <c r="E25" s="16">
        <v>1549.2931174228199</v>
      </c>
      <c r="F25" s="16">
        <v>10.19</v>
      </c>
      <c r="G25" s="16">
        <v>1598.7509860842299</v>
      </c>
      <c r="H25" s="16">
        <v>10.029999999999999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286.30449483173999</v>
      </c>
      <c r="D26" s="16">
        <v>22.95</v>
      </c>
      <c r="E26" s="16">
        <v>305.88458946308998</v>
      </c>
      <c r="F26" s="16">
        <v>21.79</v>
      </c>
      <c r="G26" s="16">
        <v>317.19753302787001</v>
      </c>
      <c r="H26" s="16">
        <v>22.03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458.02917663557997</v>
      </c>
      <c r="D27" s="16">
        <v>20.29</v>
      </c>
      <c r="E27" s="16">
        <v>480.94513924116001</v>
      </c>
      <c r="F27" s="16">
        <v>19.63</v>
      </c>
      <c r="G27" s="16">
        <v>498.78478101639001</v>
      </c>
      <c r="H27" s="16">
        <v>19.600000000000001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714.02078422322995</v>
      </c>
      <c r="D28" s="16">
        <v>17.27</v>
      </c>
      <c r="E28" s="16">
        <v>739.40238837497998</v>
      </c>
      <c r="F28" s="16">
        <v>16.77</v>
      </c>
      <c r="G28" s="16">
        <v>764.78399252673</v>
      </c>
      <c r="H28" s="16">
        <v>16.920000000000002</v>
      </c>
      <c r="I28" s="3"/>
      <c r="J28" s="3"/>
      <c r="K28" s="3"/>
      <c r="L28" s="3"/>
      <c r="M28" s="32">
        <f t="shared" ref="M28:N37" si="7">A23</f>
        <v>4</v>
      </c>
      <c r="N28" s="32">
        <f t="shared" si="7"/>
        <v>0.1</v>
      </c>
      <c r="O28" s="33">
        <f>C40</f>
        <v>903.92352919098994</v>
      </c>
      <c r="P28" s="33">
        <f>E40</f>
        <v>13.143333333333333</v>
      </c>
      <c r="Q28" s="34">
        <f>LOG10(O28)</f>
        <v>2.9561316912550772</v>
      </c>
      <c r="R28" s="34">
        <f t="shared" ref="R28:R37" si="8">$N$42+($P$23-$N$42)/(1+EXP($O$42+$P$42*(LOG10(N28)+$Q$42/19.147142*(1/(273.2+M28)-1/($M$23+273.2)))))</f>
        <v>2.9382504205635058</v>
      </c>
      <c r="S28" s="34">
        <f>Q28-R28</f>
        <v>1.7881270691571416E-2</v>
      </c>
      <c r="T28" s="35">
        <f>S28^2</f>
        <v>3.1973984154525089E-4</v>
      </c>
      <c r="U28" s="34">
        <f>$Q$42/19.147143*(1/(M28+273.15)-1/($M$23+273.15))</f>
        <v>2.3202974701707322</v>
      </c>
      <c r="V28" s="34">
        <f>LOG10(N28)+U28</f>
        <v>1.3202974701707322</v>
      </c>
      <c r="W28" s="34">
        <f>10^V28</f>
        <v>20.907276852502392</v>
      </c>
    </row>
    <row r="29" spans="1:88" s="4" customFormat="1" x14ac:dyDescent="0.25">
      <c r="A29" s="15">
        <v>40</v>
      </c>
      <c r="B29" s="36">
        <v>0.01</v>
      </c>
      <c r="C29" s="16">
        <v>36.041877895485001</v>
      </c>
      <c r="D29" s="16">
        <v>24.13</v>
      </c>
      <c r="E29" s="16">
        <v>38.333474156043003</v>
      </c>
      <c r="F29" s="16">
        <v>25.75</v>
      </c>
      <c r="G29" s="16">
        <v>41.060183630631002</v>
      </c>
      <c r="H29" s="16">
        <v>25.25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1197.2381813598799</v>
      </c>
      <c r="P29" s="33">
        <f>E39</f>
        <v>11.513333333333334</v>
      </c>
      <c r="Q29" s="34">
        <f t="shared" ref="Q29:Q37" si="9">LOG10(O29)</f>
        <v>3.078180558560315</v>
      </c>
      <c r="R29" s="34">
        <f t="shared" si="8"/>
        <v>3.0811118968290234</v>
      </c>
      <c r="S29" s="34">
        <f t="shared" ref="S29:S37" si="10">Q29-R29</f>
        <v>-2.9313382687083944E-3</v>
      </c>
      <c r="T29" s="35">
        <f t="shared" ref="T29:T37" si="11">S29^2</f>
        <v>8.5927440455943269E-6</v>
      </c>
      <c r="U29" s="34">
        <f t="shared" ref="U29:U37" si="12">$Q$42/19.147143*(1/(M29+273.15)-1/($M$23+273.15))</f>
        <v>2.3202974701707322</v>
      </c>
      <c r="V29" s="34">
        <f t="shared" ref="V29:V37" si="13">LOG10(N29)+U29</f>
        <v>2.3202974701707322</v>
      </c>
      <c r="W29" s="34">
        <f t="shared" ref="W29:W37" si="14">10^V29</f>
        <v>209.07276852502406</v>
      </c>
    </row>
    <row r="30" spans="1:88" s="4" customFormat="1" x14ac:dyDescent="0.25">
      <c r="A30" s="15">
        <v>40</v>
      </c>
      <c r="B30" s="23">
        <v>0.1</v>
      </c>
      <c r="C30" s="16">
        <v>62.540272629911996</v>
      </c>
      <c r="D30" s="16">
        <v>26.53</v>
      </c>
      <c r="E30" s="16">
        <v>62.772333010728005</v>
      </c>
      <c r="F30" s="16">
        <v>27.24</v>
      </c>
      <c r="G30" s="16">
        <v>67.428044400849004</v>
      </c>
      <c r="H30" s="16">
        <v>26.72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1553.16079043642</v>
      </c>
      <c r="P30" s="33">
        <f>E38</f>
        <v>10.286666666666667</v>
      </c>
      <c r="Q30" s="34">
        <f t="shared" si="9"/>
        <v>3.1912164182427705</v>
      </c>
      <c r="R30" s="34">
        <f t="shared" si="8"/>
        <v>3.1921816268021188</v>
      </c>
      <c r="S30" s="34">
        <f t="shared" si="10"/>
        <v>-9.652085593483406E-4</v>
      </c>
      <c r="T30" s="35">
        <f t="shared" si="11"/>
        <v>9.3162756303929919E-7</v>
      </c>
      <c r="U30" s="34">
        <f t="shared" si="12"/>
        <v>2.3202974701707322</v>
      </c>
      <c r="V30" s="34">
        <f t="shared" si="13"/>
        <v>3.3202974701707322</v>
      </c>
      <c r="W30" s="34">
        <f t="shared" si="14"/>
        <v>2090.7276852502409</v>
      </c>
    </row>
    <row r="31" spans="1:88" s="4" customFormat="1" x14ac:dyDescent="0.25">
      <c r="A31" s="15">
        <v>40</v>
      </c>
      <c r="B31" s="23">
        <v>1</v>
      </c>
      <c r="C31" s="16">
        <v>112.897375266984</v>
      </c>
      <c r="D31" s="16">
        <v>27.43</v>
      </c>
      <c r="E31" s="16">
        <v>112.853863945581</v>
      </c>
      <c r="F31" s="16">
        <v>27.53</v>
      </c>
      <c r="G31" s="16">
        <v>120.48284896490701</v>
      </c>
      <c r="H31" s="16">
        <v>27.2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303.12887244090001</v>
      </c>
      <c r="P31" s="33">
        <f>E43</f>
        <v>22.256666666666664</v>
      </c>
      <c r="Q31" s="34">
        <f t="shared" si="9"/>
        <v>2.4816273040501642</v>
      </c>
      <c r="R31" s="34">
        <f t="shared" si="8"/>
        <v>2.475032665919199</v>
      </c>
      <c r="S31" s="34">
        <f t="shared" si="10"/>
        <v>6.5946381309651692E-3</v>
      </c>
      <c r="T31" s="35">
        <f t="shared" si="11"/>
        <v>4.348925207837978E-5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15">
        <v>40</v>
      </c>
      <c r="B32" s="23">
        <v>10</v>
      </c>
      <c r="C32" s="16">
        <v>232.35045629202</v>
      </c>
      <c r="D32" s="16">
        <v>25.67</v>
      </c>
      <c r="E32" s="16">
        <v>229.88481474585001</v>
      </c>
      <c r="F32" s="16">
        <v>25.9</v>
      </c>
      <c r="G32" s="16">
        <v>244.67866402287001</v>
      </c>
      <c r="H32" s="16">
        <v>25.25</v>
      </c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479.25303229770998</v>
      </c>
      <c r="P32" s="33">
        <f>E42</f>
        <v>19.84</v>
      </c>
      <c r="Q32" s="34">
        <f t="shared" si="9"/>
        <v>2.6805648693977724</v>
      </c>
      <c r="R32" s="34">
        <f t="shared" si="8"/>
        <v>2.6965834203149814</v>
      </c>
      <c r="S32" s="34">
        <f t="shared" si="10"/>
        <v>-1.6018550917209051E-2</v>
      </c>
      <c r="T32" s="35">
        <f t="shared" si="11"/>
        <v>2.5659397348721895E-4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739.40238837497998</v>
      </c>
      <c r="P33" s="33">
        <f>E41</f>
        <v>16.986666666666668</v>
      </c>
      <c r="Q33" s="34">
        <f t="shared" si="9"/>
        <v>2.868880849072359</v>
      </c>
      <c r="R33" s="34">
        <f t="shared" si="8"/>
        <v>2.8853452826067891</v>
      </c>
      <c r="S33" s="34">
        <f t="shared" si="10"/>
        <v>-1.6464433534430167E-2</v>
      </c>
      <c r="T33" s="35">
        <f t="shared" si="11"/>
        <v>2.7107757160966866E-4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0.01</v>
      </c>
      <c r="O34" s="33">
        <f>C47</f>
        <v>38.478511894053007</v>
      </c>
      <c r="P34" s="33">
        <f>E47</f>
        <v>25.043333333333333</v>
      </c>
      <c r="Q34" s="34">
        <f t="shared" si="9"/>
        <v>1.5852182679214395</v>
      </c>
      <c r="R34" s="34">
        <f t="shared" si="8"/>
        <v>1.5746655864886339</v>
      </c>
      <c r="S34" s="34">
        <f t="shared" si="10"/>
        <v>1.0552681432805633E-2</v>
      </c>
      <c r="T34" s="35">
        <f t="shared" si="11"/>
        <v>1.1135908542228074E-4</v>
      </c>
      <c r="U34" s="34">
        <f t="shared" si="12"/>
        <v>-2.5669425349585646</v>
      </c>
      <c r="V34" s="34">
        <f t="shared" si="13"/>
        <v>-4.5669425349585646</v>
      </c>
      <c r="W34" s="34">
        <f t="shared" si="14"/>
        <v>2.710550263153884E-5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0.1</v>
      </c>
      <c r="O35" s="33">
        <f>C46</f>
        <v>64.246883347163006</v>
      </c>
      <c r="P35" s="33">
        <f>E46</f>
        <v>26.83</v>
      </c>
      <c r="Q35" s="34">
        <f t="shared" si="9"/>
        <v>1.8078520646420995</v>
      </c>
      <c r="R35" s="34">
        <f t="shared" si="8"/>
        <v>1.8225254497621721</v>
      </c>
      <c r="S35" s="34">
        <f t="shared" si="10"/>
        <v>-1.4673385120072657E-2</v>
      </c>
      <c r="T35" s="35">
        <f t="shared" si="11"/>
        <v>2.1530823088196968E-4</v>
      </c>
      <c r="U35" s="34">
        <f t="shared" si="12"/>
        <v>-2.5669425349585646</v>
      </c>
      <c r="V35" s="34">
        <f t="shared" si="13"/>
        <v>-3.5669425349585646</v>
      </c>
      <c r="W35" s="34">
        <f t="shared" si="14"/>
        <v>2.7105502631538821E-4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</v>
      </c>
      <c r="O36" s="33">
        <f>C45</f>
        <v>115.41136272582401</v>
      </c>
      <c r="P36" s="33">
        <f>E45</f>
        <v>27.386666666666667</v>
      </c>
      <c r="Q36" s="34">
        <f t="shared" si="9"/>
        <v>2.0622485690120227</v>
      </c>
      <c r="R36" s="34">
        <f t="shared" si="8"/>
        <v>2.0820691271932303</v>
      </c>
      <c r="S36" s="34">
        <f t="shared" si="10"/>
        <v>-1.9820558181207648E-2</v>
      </c>
      <c r="T36" s="35">
        <f t="shared" si="11"/>
        <v>3.9285452661463741E-4</v>
      </c>
      <c r="U36" s="34">
        <f t="shared" si="12"/>
        <v>-2.5669425349585646</v>
      </c>
      <c r="V36" s="34">
        <f t="shared" si="13"/>
        <v>-2.5669425349585646</v>
      </c>
      <c r="W36" s="34">
        <f t="shared" si="14"/>
        <v>2.7105502631538849E-3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M37" s="32">
        <f t="shared" si="7"/>
        <v>40</v>
      </c>
      <c r="N37" s="32">
        <f t="shared" si="7"/>
        <v>10</v>
      </c>
      <c r="O37" s="33">
        <f>C44</f>
        <v>235.63797835358</v>
      </c>
      <c r="P37" s="33">
        <f>E44</f>
        <v>25.606666666666666</v>
      </c>
      <c r="Q37" s="34">
        <f t="shared" si="9"/>
        <v>2.3722452880681533</v>
      </c>
      <c r="R37" s="34">
        <f t="shared" si="8"/>
        <v>2.3377281567969437</v>
      </c>
      <c r="S37" s="34">
        <f t="shared" si="10"/>
        <v>3.4517131271209589E-2</v>
      </c>
      <c r="T37" s="35">
        <f t="shared" si="11"/>
        <v>1.191432351193915E-3</v>
      </c>
      <c r="U37" s="34">
        <f t="shared" si="12"/>
        <v>-2.5669425349585646</v>
      </c>
      <c r="V37" s="34">
        <f t="shared" si="13"/>
        <v>-1.5669425349585646</v>
      </c>
      <c r="W37" s="34">
        <f t="shared" si="14"/>
        <v>2.7105502631538846E-2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1553.16079043642</v>
      </c>
      <c r="D38" s="23">
        <f>(STDEV(C25,E25,G25)/C38)*100</f>
        <v>2.8190683789022404</v>
      </c>
      <c r="E38" s="23">
        <f>AVERAGE(D25,F25,H25)</f>
        <v>10.286666666666667</v>
      </c>
      <c r="F38" s="23">
        <f>STDEV(D25,F25,H25)</f>
        <v>0.31628046625318762</v>
      </c>
      <c r="G38" s="3"/>
      <c r="H38" s="3"/>
      <c r="I38" s="26" t="s">
        <v>32</v>
      </c>
      <c r="J38" s="8">
        <v>20</v>
      </c>
      <c r="K38" s="3"/>
      <c r="L38" s="3"/>
      <c r="P38" s="32" t="s">
        <v>68</v>
      </c>
      <c r="Q38" s="35">
        <f>STDEV(Q28:Q37)</f>
        <v>0.54896639218327148</v>
      </c>
      <c r="S38" s="32" t="s">
        <v>69</v>
      </c>
      <c r="T38" s="35">
        <f>SUM(T28:T37)</f>
        <v>2.8113792044419548E-3</v>
      </c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1197.2381813598799</v>
      </c>
      <c r="D39" s="23">
        <f>(STDEV(C24,E24,G24)/C39)*100</f>
        <v>3.8894704210964082</v>
      </c>
      <c r="E39" s="23">
        <f>AVERAGE(D24,F24,H24)</f>
        <v>11.513333333333334</v>
      </c>
      <c r="F39" s="23">
        <f>STDEV(D24,F24,H24)</f>
        <v>0.39310727967481551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903.92352919098994</v>
      </c>
      <c r="D40" s="23">
        <f>(STDEV(C23,E23,G23)/C40)*100</f>
        <v>4.6861593632370147</v>
      </c>
      <c r="E40" s="23">
        <f>AVERAGE(D23,F23,H23)</f>
        <v>13.143333333333333</v>
      </c>
      <c r="F40" s="23">
        <f>STDEV(D23,F23,H23)</f>
        <v>0.36963946398258613</v>
      </c>
      <c r="G40" s="3"/>
      <c r="H40" s="3"/>
      <c r="I40" s="12" t="s">
        <v>94</v>
      </c>
      <c r="J40" s="59">
        <f>G115</f>
        <v>4685.0881932664197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739.40238837497998</v>
      </c>
      <c r="D41" s="23">
        <f>(STDEV(C28,E28,G28)/C41)*100</f>
        <v>3.4327187132208747</v>
      </c>
      <c r="E41" s="23">
        <f>AVERAGE(D28,F28,H28)</f>
        <v>16.986666666666668</v>
      </c>
      <c r="F41" s="23">
        <f>STDEV(D28,F28,H28)</f>
        <v>0.25658007197234395</v>
      </c>
      <c r="G41" s="3"/>
      <c r="H41" s="3"/>
      <c r="I41" s="69" t="s">
        <v>35</v>
      </c>
      <c r="J41" s="62">
        <f>AVERAGE(E41:E42)</f>
        <v>18.413333333333334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479.25303229770998</v>
      </c>
      <c r="D42" s="23">
        <f>(STDEV(C27,E27,G27)/C42)*100</f>
        <v>4.262972382523154</v>
      </c>
      <c r="E42" s="23">
        <f>AVERAGE(D27,F27,H27)</f>
        <v>19.84</v>
      </c>
      <c r="F42" s="23">
        <f>STDEV(D27,F27,H27)</f>
        <v>0.38999999999999935</v>
      </c>
      <c r="G42" s="3"/>
      <c r="H42" s="3"/>
      <c r="I42" s="32" t="s">
        <v>105</v>
      </c>
      <c r="J42" s="70">
        <f>(COS(RADIANS(J41)))^2</f>
        <v>0.90022624299521048</v>
      </c>
      <c r="K42" s="3"/>
      <c r="L42" s="3"/>
      <c r="M42" s="38" t="s">
        <v>78</v>
      </c>
      <c r="N42" s="39">
        <f>N43</f>
        <v>0.53774812651500703</v>
      </c>
      <c r="O42" s="39">
        <f>O43*-1</f>
        <v>-0.99051368039292398</v>
      </c>
      <c r="P42" s="39">
        <f>P43*-1</f>
        <v>-0.35227051768524942</v>
      </c>
      <c r="Q42" s="40">
        <f>Q43*200000</f>
        <v>225596.54601965917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303.12887244090001</v>
      </c>
      <c r="D43" s="23">
        <f>(STDEV(C26,E26,G26)/C43)*100</f>
        <v>5.156154556382039</v>
      </c>
      <c r="E43" s="23">
        <f>AVERAGE(D26,F26,H26)</f>
        <v>22.256666666666664</v>
      </c>
      <c r="F43" s="23">
        <f>STDEV(D26,F26,H26)</f>
        <v>0.61231800017093485</v>
      </c>
      <c r="G43" s="3"/>
      <c r="H43" s="3"/>
      <c r="I43" s="32" t="s">
        <v>106</v>
      </c>
      <c r="J43" s="70">
        <f>SIN(RADIANS(J41))</f>
        <v>0.31586984187286621</v>
      </c>
      <c r="K43" s="3"/>
      <c r="L43" s="3"/>
      <c r="M43" s="38" t="s">
        <v>80</v>
      </c>
      <c r="N43" s="39">
        <v>0.53774812651500703</v>
      </c>
      <c r="O43" s="39">
        <v>0.99051368039292398</v>
      </c>
      <c r="P43" s="39">
        <v>0.35227051768524942</v>
      </c>
      <c r="Q43" s="41">
        <v>1.1279827300982959</v>
      </c>
      <c r="R43" s="4" t="s">
        <v>81</v>
      </c>
    </row>
    <row r="44" spans="1:23" s="4" customFormat="1" ht="18" x14ac:dyDescent="0.35">
      <c r="A44" s="72">
        <f>A30</f>
        <v>40</v>
      </c>
      <c r="B44" s="23">
        <f>B32</f>
        <v>10</v>
      </c>
      <c r="C44" s="23">
        <f>AVERAGE(C32,E32,G32)</f>
        <v>235.63797835358</v>
      </c>
      <c r="D44" s="23">
        <f>(STDEV(C32,E32,G32)/C44)*100</f>
        <v>3.3636040815937691</v>
      </c>
      <c r="E44" s="23">
        <f>AVERAGE(D32,F32,H32)</f>
        <v>25.606666666666666</v>
      </c>
      <c r="F44" s="23">
        <f>STDEV(D32,F32,H32)</f>
        <v>0.32959571194621606</v>
      </c>
      <c r="G44" s="3"/>
      <c r="H44" s="3"/>
      <c r="I44" s="12" t="s">
        <v>107</v>
      </c>
      <c r="J44" s="59">
        <f>(J40*J42)/J43</f>
        <v>13352.459726189993</v>
      </c>
      <c r="K44" s="3"/>
      <c r="L44" s="3"/>
    </row>
    <row r="45" spans="1:23" s="4" customFormat="1" x14ac:dyDescent="0.25">
      <c r="A45" s="72">
        <f>A31</f>
        <v>40</v>
      </c>
      <c r="B45" s="23">
        <f>B31</f>
        <v>1</v>
      </c>
      <c r="C45" s="23">
        <f>AVERAGE(C31,E31,G31)</f>
        <v>115.41136272582401</v>
      </c>
      <c r="D45" s="23">
        <f>(STDEV(C31,E31,G31)/C45)*100</f>
        <v>3.8055956506716981</v>
      </c>
      <c r="E45" s="23">
        <f>AVERAGE(D31,F31,H31)</f>
        <v>27.386666666666667</v>
      </c>
      <c r="F45" s="23">
        <f>STDEV(D31,F31,H31)</f>
        <v>0.16921386861996157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72">
        <f>A32</f>
        <v>40</v>
      </c>
      <c r="B46" s="23">
        <f>B30</f>
        <v>0.1</v>
      </c>
      <c r="C46" s="23">
        <f>AVERAGE(C30,E30,G30)</f>
        <v>64.246883347163006</v>
      </c>
      <c r="D46" s="23">
        <f>(STDEV(C30,E30,G30)/C46)*100</f>
        <v>4.2918947445992268</v>
      </c>
      <c r="E46" s="23">
        <f>AVERAGE(D30,F30,H30)</f>
        <v>26.83</v>
      </c>
      <c r="F46" s="23">
        <f>STDEV(D30,F30,H30)</f>
        <v>0.36755951898978095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3.4341103197089988</v>
      </c>
      <c r="O46" s="44">
        <f t="shared" ref="O46" si="17">10^N46</f>
        <v>2717.1293877961284</v>
      </c>
    </row>
    <row r="47" spans="1:23" s="4" customFormat="1" x14ac:dyDescent="0.25">
      <c r="A47" s="72">
        <f>A29</f>
        <v>40</v>
      </c>
      <c r="B47" s="36">
        <f>B29</f>
        <v>0.01</v>
      </c>
      <c r="C47" s="23">
        <f>AVERAGE(C29,E29,G29)</f>
        <v>38.478511894053007</v>
      </c>
      <c r="D47" s="23">
        <f>(STDEV(C29,E29,G29)/C47)*100</f>
        <v>6.5290850877269877</v>
      </c>
      <c r="E47" s="23">
        <f>AVERAGE(D29,F29,H29)</f>
        <v>25.043333333333333</v>
      </c>
      <c r="F47" s="23">
        <f>STDEV(D29,F29,H29)</f>
        <v>0.82953802404310206</v>
      </c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3.4078141836740978</v>
      </c>
      <c r="O47" s="44">
        <f>10^N47</f>
        <v>2557.4914098728632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3.3712254024081787</v>
      </c>
      <c r="O48" s="44">
        <f>10^N48</f>
        <v>2350.8526161225609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3.320763821904086</v>
      </c>
      <c r="O49" s="44">
        <f t="shared" ref="O49:O62" si="18">10^N49</f>
        <v>2092.9739448746031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3.2520122915217744</v>
      </c>
      <c r="O50" s="44">
        <f t="shared" si="18"/>
        <v>1786.5381372298484</v>
      </c>
    </row>
    <row r="51" spans="1:15" s="4" customFormat="1" x14ac:dyDescent="0.25">
      <c r="A51" s="24">
        <f>O23</f>
        <v>3150.2450699910455</v>
      </c>
      <c r="B51" s="45">
        <f>10^N42</f>
        <v>3.449436277612552</v>
      </c>
      <c r="C51" s="46">
        <f>O42</f>
        <v>-0.99051368039292398</v>
      </c>
      <c r="D51" s="46">
        <f>P42</f>
        <v>-0.35227051768524942</v>
      </c>
      <c r="E51" s="47">
        <f>Q42</f>
        <v>225596.54601965917</v>
      </c>
      <c r="F51" s="48">
        <f>S23</f>
        <v>0.99689038474633085</v>
      </c>
      <c r="G51" s="45">
        <f>R23/Q38</f>
        <v>3.9431049020214451E-2</v>
      </c>
      <c r="H51" s="3"/>
      <c r="I51" s="3"/>
      <c r="J51" s="3"/>
      <c r="K51" s="3"/>
      <c r="L51" s="3"/>
      <c r="M51" s="43">
        <v>1000</v>
      </c>
      <c r="N51" s="21">
        <f t="shared" si="16"/>
        <v>3.1598803048068933</v>
      </c>
      <c r="O51" s="44">
        <f t="shared" si="18"/>
        <v>1445.0414503433492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3.0391195949822247</v>
      </c>
      <c r="O52" s="44">
        <f t="shared" si="18"/>
        <v>1094.2576588589116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2.8853452826067891</v>
      </c>
      <c r="O53" s="44">
        <f t="shared" si="18"/>
        <v>767.97181700870374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2.6965834203149814</v>
      </c>
      <c r="O54" s="44">
        <f t="shared" si="18"/>
        <v>497.25987941046753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2.475032665919199</v>
      </c>
      <c r="O55" s="44">
        <f t="shared" si="18"/>
        <v>298.5607176077005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2.2282778305955748</v>
      </c>
      <c r="O56" s="44">
        <f t="shared" si="18"/>
        <v>169.15227010156397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1.9689938916198879</v>
      </c>
      <c r="O57" s="44">
        <f t="shared" si="18"/>
        <v>93.109477946714904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1.7126884821124619</v>
      </c>
      <c r="O58" s="44">
        <f t="shared" si="18"/>
        <v>51.604607846676075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1.4741777858333986</v>
      </c>
      <c r="O59" s="44">
        <f t="shared" si="18"/>
        <v>29.797359853992944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1.2643819772517602</v>
      </c>
      <c r="O60" s="44">
        <f t="shared" si="18"/>
        <v>18.381543538959807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1.0887928448699815</v>
      </c>
      <c r="O61" s="18">
        <f t="shared" si="18"/>
        <v>12.268538916911643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0.94784520107497983</v>
      </c>
      <c r="O62" s="18">
        <f t="shared" si="18"/>
        <v>8.8683985254093471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S6-1 CA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4.5820150908344042</v>
      </c>
      <c r="E85" s="57">
        <f>10^(LOG(C85)+D85)</f>
        <v>954893.85710887518</v>
      </c>
      <c r="F85" s="58">
        <f>10^($N$42+($P$23-$N$42)/(1+EXP($O$42+$P$42*(LOG10(C85)+$Q$42/19.147142*(1/(273.2+A85)-1/($M$23+273.2))))))</f>
        <v>2345.8069302206677</v>
      </c>
      <c r="G85" s="59">
        <f>F85*6.89476</f>
        <v>16173.77579020825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4.5820150908344042</v>
      </c>
      <c r="E86" s="57">
        <f t="shared" ref="E86:E115" si="20">10^(LOG(C86)+D86)</f>
        <v>381957.54284354975</v>
      </c>
      <c r="F86" s="58">
        <f t="shared" ref="F86:F115" si="21">10^($N$42+($P$23-$N$42)/(1+EXP($O$42+$P$42*(LOG10(C86)+$Q$42/19.147142*(1/(273.2+A86)-1/($M$23+273.2))))))</f>
        <v>2248.9260951828946</v>
      </c>
      <c r="G86" s="59">
        <f t="shared" ref="G86:G115" si="22">F86*6.89476</f>
        <v>15505.805684023215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4.5820150908344042</v>
      </c>
      <c r="E87" s="57">
        <f t="shared" si="20"/>
        <v>190978.77142177484</v>
      </c>
      <c r="F87" s="58">
        <f t="shared" si="21"/>
        <v>2170.180716888322</v>
      </c>
      <c r="G87" s="59">
        <f t="shared" si="22"/>
        <v>14962.875199572927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4.5820150908344042</v>
      </c>
      <c r="E88" s="57">
        <f t="shared" si="20"/>
        <v>38195.754284354996</v>
      </c>
      <c r="F88" s="58">
        <f t="shared" si="21"/>
        <v>1969.7990755359053</v>
      </c>
      <c r="G88" s="59">
        <f t="shared" si="22"/>
        <v>13581.291874041939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4.5820150908344042</v>
      </c>
      <c r="E89" s="57">
        <f t="shared" si="20"/>
        <v>19097.877142177498</v>
      </c>
      <c r="F89" s="58">
        <f t="shared" si="21"/>
        <v>1876.4747493816374</v>
      </c>
      <c r="G89" s="59">
        <f t="shared" si="22"/>
        <v>12937.843043046538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4.5820150908344042</v>
      </c>
      <c r="E90" s="57">
        <f t="shared" si="20"/>
        <v>3819.5754284354957</v>
      </c>
      <c r="F90" s="58">
        <f t="shared" si="21"/>
        <v>1646.2840181313952</v>
      </c>
      <c r="G90" s="59">
        <f t="shared" si="22"/>
        <v>11350.733196851617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2.2522333801833212</v>
      </c>
      <c r="E91" s="57">
        <f t="shared" si="20"/>
        <v>4468.6196287105586</v>
      </c>
      <c r="F91" s="58">
        <f t="shared" si="21"/>
        <v>1669.7225408180823</v>
      </c>
      <c r="G91" s="59">
        <f t="shared" si="22"/>
        <v>11512.336185530881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2.2522333801833212</v>
      </c>
      <c r="E92" s="57">
        <f t="shared" si="20"/>
        <v>1787.4478514842233</v>
      </c>
      <c r="F92" s="58">
        <f t="shared" si="21"/>
        <v>1532.990367400685</v>
      </c>
      <c r="G92" s="59">
        <f t="shared" si="22"/>
        <v>10569.600665539547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2.2522333801833212</v>
      </c>
      <c r="E93" s="57">
        <f t="shared" si="20"/>
        <v>893.72392574211074</v>
      </c>
      <c r="F93" s="58">
        <f t="shared" si="21"/>
        <v>1427.6067413632566</v>
      </c>
      <c r="G93" s="59">
        <f t="shared" si="22"/>
        <v>9843.005856081727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2.2522333801833212</v>
      </c>
      <c r="E94" s="57">
        <f t="shared" si="20"/>
        <v>178.7447851484223</v>
      </c>
      <c r="F94" s="58">
        <f t="shared" si="21"/>
        <v>1181.5351929040683</v>
      </c>
      <c r="G94" s="59">
        <f t="shared" si="22"/>
        <v>8146.401586627253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2.2522333801833212</v>
      </c>
      <c r="E95" s="57">
        <f t="shared" si="20"/>
        <v>89.372392574211048</v>
      </c>
      <c r="F95" s="58">
        <f t="shared" si="21"/>
        <v>1077.212249372611</v>
      </c>
      <c r="G95" s="59">
        <f t="shared" si="22"/>
        <v>7427.1199284843033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2.2522333801833212</v>
      </c>
      <c r="E96" s="57">
        <f t="shared" si="20"/>
        <v>17.874478514842217</v>
      </c>
      <c r="F96" s="58">
        <f t="shared" si="21"/>
        <v>845.83249394569521</v>
      </c>
      <c r="G96" s="59">
        <f t="shared" si="22"/>
        <v>5831.8120459570209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-0.15176207464434421</v>
      </c>
      <c r="E97" s="57">
        <f t="shared" si="20"/>
        <v>17.626980904195939</v>
      </c>
      <c r="F97" s="58">
        <f t="shared" si="21"/>
        <v>844.18441019257295</v>
      </c>
      <c r="G97" s="59">
        <f t="shared" si="22"/>
        <v>5820.4489040193439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-0.15176207464434421</v>
      </c>
      <c r="E98" s="57">
        <f t="shared" si="20"/>
        <v>7.0507923616783739</v>
      </c>
      <c r="F98" s="58">
        <f t="shared" si="21"/>
        <v>722.70503467025435</v>
      </c>
      <c r="G98" s="59">
        <f t="shared" si="22"/>
        <v>4982.8777648430823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-0.15176207464434421</v>
      </c>
      <c r="E99" s="57">
        <f t="shared" si="20"/>
        <v>3.5253961808391874</v>
      </c>
      <c r="F99" s="58">
        <f t="shared" si="21"/>
        <v>637.09366933833871</v>
      </c>
      <c r="G99" s="59">
        <f t="shared" si="22"/>
        <v>4392.6079476072036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-0.15176207464434421</v>
      </c>
      <c r="E100" s="57">
        <f t="shared" si="20"/>
        <v>0.7050792361678373</v>
      </c>
      <c r="F100" s="58">
        <f t="shared" si="21"/>
        <v>462.33721671708122</v>
      </c>
      <c r="G100" s="59">
        <f t="shared" si="22"/>
        <v>3187.7041483322628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-0.15176207464434421</v>
      </c>
      <c r="E101" s="57">
        <f t="shared" si="20"/>
        <v>0.35253961808391859</v>
      </c>
      <c r="F101" s="58">
        <f t="shared" si="21"/>
        <v>398.12221503281751</v>
      </c>
      <c r="G101" s="59">
        <f t="shared" si="22"/>
        <v>2744.9571233196689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-0.15176207464434421</v>
      </c>
      <c r="E102" s="57">
        <f t="shared" si="20"/>
        <v>7.0507923616783721E-2</v>
      </c>
      <c r="F102" s="58">
        <f t="shared" si="21"/>
        <v>274.76259200472361</v>
      </c>
      <c r="G102" s="59">
        <f t="shared" si="22"/>
        <v>1894.4221288504882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-2.2980347155108274</v>
      </c>
      <c r="E103" s="57">
        <f t="shared" si="20"/>
        <v>0.12586509071624361</v>
      </c>
      <c r="F103" s="58">
        <f t="shared" si="21"/>
        <v>315.24385547384634</v>
      </c>
      <c r="G103" s="59">
        <f t="shared" si="22"/>
        <v>2173.5307249668567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-2.2980347155108274</v>
      </c>
      <c r="E104" s="57">
        <f t="shared" si="20"/>
        <v>5.034603628649742E-2</v>
      </c>
      <c r="F104" s="58">
        <f t="shared" si="21"/>
        <v>253.41056945172565</v>
      </c>
      <c r="G104" s="59">
        <f t="shared" si="22"/>
        <v>1747.2050578329799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-2.2980347155108274</v>
      </c>
      <c r="E105" s="57">
        <f t="shared" si="20"/>
        <v>2.517301814324871E-2</v>
      </c>
      <c r="F105" s="58">
        <f t="shared" si="21"/>
        <v>213.65467639120027</v>
      </c>
      <c r="G105" s="59">
        <f t="shared" si="22"/>
        <v>1473.0977165949919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-2.2980347155108274</v>
      </c>
      <c r="E106" s="57">
        <f t="shared" si="20"/>
        <v>5.0346036286497411E-3</v>
      </c>
      <c r="F106" s="58">
        <f t="shared" si="21"/>
        <v>141.85142909952577</v>
      </c>
      <c r="G106" s="59">
        <f t="shared" si="22"/>
        <v>978.03155929824629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-2.2980347155108274</v>
      </c>
      <c r="E107" s="57">
        <f t="shared" si="20"/>
        <v>2.5173018143248701E-3</v>
      </c>
      <c r="F107" s="58">
        <f t="shared" si="21"/>
        <v>118.49095515125214</v>
      </c>
      <c r="G107" s="59">
        <f t="shared" si="22"/>
        <v>816.96669793864714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-2.2980347155108274</v>
      </c>
      <c r="E108" s="57">
        <f t="shared" si="20"/>
        <v>5.0346036286497402E-4</v>
      </c>
      <c r="F108" s="58">
        <f t="shared" si="21"/>
        <v>77.942566561027803</v>
      </c>
      <c r="G108" s="59">
        <f t="shared" si="22"/>
        <v>537.39529022231204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-4.2259201932996797</v>
      </c>
      <c r="E109" s="57">
        <f t="shared" si="20"/>
        <v>1.4860034419966767E-3</v>
      </c>
      <c r="F109" s="58">
        <f t="shared" si="21"/>
        <v>103.31972784501002</v>
      </c>
      <c r="G109" s="59">
        <f t="shared" si="22"/>
        <v>712.3647267566613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-4.2259201932996797</v>
      </c>
      <c r="E110" s="57">
        <f t="shared" si="20"/>
        <v>5.9440137679867108E-4</v>
      </c>
      <c r="F110" s="58">
        <f t="shared" si="21"/>
        <v>81.398514536462883</v>
      </c>
      <c r="G110" s="59">
        <f t="shared" si="22"/>
        <v>561.22322208542278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-4.2259201932996797</v>
      </c>
      <c r="E111" s="57">
        <f t="shared" si="20"/>
        <v>2.9720068839933554E-4</v>
      </c>
      <c r="F111" s="58">
        <f t="shared" si="21"/>
        <v>68.063347879134412</v>
      </c>
      <c r="G111" s="59">
        <f t="shared" si="22"/>
        <v>469.28044842314074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-4.2259201932996797</v>
      </c>
      <c r="E112" s="57">
        <f t="shared" si="20"/>
        <v>5.9440137679867046E-5</v>
      </c>
      <c r="F112" s="58">
        <f t="shared" si="21"/>
        <v>45.40603649051036</v>
      </c>
      <c r="G112" s="59">
        <f t="shared" si="22"/>
        <v>313.06372415331117</v>
      </c>
    </row>
    <row r="113" spans="1:7" x14ac:dyDescent="0.25">
      <c r="A113" s="23">
        <v>54.444444444444443</v>
      </c>
      <c r="B113" s="8">
        <v>130</v>
      </c>
      <c r="C113" s="8">
        <v>0.5</v>
      </c>
      <c r="D113" s="56">
        <f t="shared" si="19"/>
        <v>-4.2259201932996797</v>
      </c>
      <c r="E113" s="57">
        <f t="shared" si="20"/>
        <v>2.9720068839933523E-5</v>
      </c>
      <c r="F113" s="58">
        <f t="shared" si="21"/>
        <v>38.397321945906718</v>
      </c>
      <c r="G113" s="59">
        <f t="shared" si="22"/>
        <v>264.7403194597598</v>
      </c>
    </row>
    <row r="114" spans="1:7" x14ac:dyDescent="0.25">
      <c r="A114" s="23">
        <v>54.444444444444443</v>
      </c>
      <c r="B114" s="8">
        <v>130</v>
      </c>
      <c r="C114" s="8">
        <v>0.1</v>
      </c>
      <c r="D114" s="56">
        <f t="shared" si="19"/>
        <v>-4.2259201932996797</v>
      </c>
      <c r="E114" s="57">
        <f t="shared" si="20"/>
        <v>5.9440137679867094E-6</v>
      </c>
      <c r="F114" s="58">
        <f t="shared" si="21"/>
        <v>26.563387202151208</v>
      </c>
      <c r="G114" s="59">
        <f t="shared" si="22"/>
        <v>183.14817954590407</v>
      </c>
    </row>
    <row r="115" spans="1:7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679.51432584548547</v>
      </c>
      <c r="G115" s="67">
        <f t="shared" si="22"/>
        <v>4685.0881932664197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5F71-8783-486F-B392-B351DA65D8C7}">
  <dimension ref="A1:CJ115"/>
  <sheetViews>
    <sheetView view="pageBreakPreview" topLeftCell="A26" zoomScale="80" zoomScaleNormal="70" zoomScaleSheetLayoutView="80" workbookViewId="0">
      <selection activeCell="L53" sqref="L53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9.42578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137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2.649</v>
      </c>
      <c r="F14" s="8" t="s">
        <v>14</v>
      </c>
      <c r="G14" s="60" t="s">
        <v>122</v>
      </c>
      <c r="H14" s="16">
        <v>7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6.84</v>
      </c>
      <c r="F15" s="8" t="s">
        <v>24</v>
      </c>
      <c r="G15" s="60" t="s">
        <v>117</v>
      </c>
      <c r="H15" s="16">
        <v>6.3</v>
      </c>
      <c r="M15" s="4" t="str">
        <f t="shared" ref="M15:N17" si="0">G14</f>
        <v>1C</v>
      </c>
      <c r="N15" s="18">
        <f t="shared" si="0"/>
        <v>7</v>
      </c>
      <c r="O15" s="4">
        <f>$B$14</f>
        <v>2.649</v>
      </c>
      <c r="P15" s="20">
        <f>$B$15</f>
        <v>6.84</v>
      </c>
      <c r="Q15" s="21">
        <f>$B$16</f>
        <v>2.4020000000000001</v>
      </c>
      <c r="R15" s="21">
        <f t="shared" ref="R15:R17" si="1">((Q15*(N15-100))/-100)</f>
        <v>2.2338600000000004</v>
      </c>
      <c r="S15" s="18">
        <f t="shared" ref="S15:S17" si="2">100-((R15*(100-P15))/O15)</f>
        <v>21.439638505096255</v>
      </c>
      <c r="T15" s="18">
        <f t="shared" ref="T15:T17" si="3">100*((S15-N15)/S15)</f>
        <v>67.350195767824701</v>
      </c>
      <c r="U15" s="18"/>
      <c r="W15" s="18"/>
    </row>
    <row r="16" spans="1:23" x14ac:dyDescent="0.25">
      <c r="A16" s="8" t="s">
        <v>25</v>
      </c>
      <c r="B16" s="22">
        <v>2.4020000000000001</v>
      </c>
      <c r="F16" s="8" t="s">
        <v>26</v>
      </c>
      <c r="G16" s="60" t="s">
        <v>132</v>
      </c>
      <c r="H16" s="16">
        <v>6.5</v>
      </c>
      <c r="M16" s="4" t="str">
        <f t="shared" si="0"/>
        <v>1D</v>
      </c>
      <c r="N16" s="18">
        <f t="shared" si="0"/>
        <v>6.3</v>
      </c>
      <c r="O16" s="4">
        <f t="shared" ref="O16:O17" si="4">$B$14</f>
        <v>2.649</v>
      </c>
      <c r="P16" s="20">
        <f t="shared" ref="P16:P17" si="5">$B$15</f>
        <v>6.84</v>
      </c>
      <c r="Q16" s="21">
        <f t="shared" ref="Q16:Q17" si="6">$B$16</f>
        <v>2.4020000000000001</v>
      </c>
      <c r="R16" s="21">
        <f t="shared" si="1"/>
        <v>2.2506740000000001</v>
      </c>
      <c r="S16" s="18">
        <f t="shared" si="2"/>
        <v>20.848323956209882</v>
      </c>
      <c r="T16" s="18">
        <f t="shared" si="3"/>
        <v>69.781743543353357</v>
      </c>
      <c r="U16" s="18"/>
    </row>
    <row r="17" spans="1:88" x14ac:dyDescent="0.25">
      <c r="A17" s="8" t="s">
        <v>21</v>
      </c>
      <c r="B17" s="23">
        <f>AVERAGE(S15:S17)</f>
        <v>21.101744477161187</v>
      </c>
      <c r="M17" s="4" t="str">
        <f t="shared" si="0"/>
        <v>4C</v>
      </c>
      <c r="N17" s="18">
        <f t="shared" si="0"/>
        <v>6.5</v>
      </c>
      <c r="O17" s="4">
        <f t="shared" si="4"/>
        <v>2.649</v>
      </c>
      <c r="P17" s="20">
        <f t="shared" si="5"/>
        <v>6.84</v>
      </c>
      <c r="Q17" s="21">
        <f t="shared" si="6"/>
        <v>2.4020000000000001</v>
      </c>
      <c r="R17" s="21">
        <f t="shared" si="1"/>
        <v>2.24587</v>
      </c>
      <c r="S17" s="18">
        <f t="shared" si="2"/>
        <v>21.017270970177421</v>
      </c>
      <c r="T17" s="18">
        <f t="shared" si="3"/>
        <v>69.073054207545724</v>
      </c>
    </row>
    <row r="18" spans="1:88" x14ac:dyDescent="0.25">
      <c r="A18" s="8" t="s">
        <v>22</v>
      </c>
      <c r="B18" s="23">
        <f>AVERAGE(T15:T17)</f>
        <v>68.734997839574589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831.79142748735001</v>
      </c>
      <c r="D23" s="16">
        <v>15.36</v>
      </c>
      <c r="E23" s="16">
        <v>895.89810768776999</v>
      </c>
      <c r="F23" s="16">
        <v>14.99</v>
      </c>
      <c r="G23" s="16">
        <v>1015.26416607</v>
      </c>
      <c r="H23" s="16">
        <v>14.06</v>
      </c>
      <c r="M23" s="4">
        <v>20</v>
      </c>
      <c r="N23" s="29">
        <f>(20+(B18*3*145000)/(B17))^0.58/(650+((B18*3*145000)/B17)^0.58)</f>
        <v>0.85045889260426777</v>
      </c>
      <c r="O23" s="18">
        <f>(N23*(4200000*(1-B17/100)+3*145000*(B17*B18)/10000)+(1-N23)/((1-B17/100)/4200000+B17/(3*B18*145000)))/1000</f>
        <v>3039.1930675516924</v>
      </c>
      <c r="P23" s="29">
        <f>LOG10(O23)</f>
        <v>3.4827582899150897</v>
      </c>
      <c r="R23" s="30">
        <f>(1/6*T37)^0.5</f>
        <v>2.1988338772141354E-2</v>
      </c>
      <c r="S23" s="30">
        <f>1-R23^2/Q37^2*12/6</f>
        <v>0.9953107252320712</v>
      </c>
      <c r="T23" s="30">
        <f>(1-8*R23^2/9*Q37^2)</f>
        <v>0.99991137801565</v>
      </c>
    </row>
    <row r="24" spans="1:88" x14ac:dyDescent="0.25">
      <c r="A24" s="8">
        <v>4</v>
      </c>
      <c r="B24" s="23">
        <v>1</v>
      </c>
      <c r="C24" s="16">
        <v>1149.8591869432801</v>
      </c>
      <c r="D24" s="16">
        <v>12.12</v>
      </c>
      <c r="E24" s="16">
        <v>1233.4009240370401</v>
      </c>
      <c r="F24" s="16">
        <v>11.99</v>
      </c>
      <c r="G24" s="16">
        <v>1373.2173034786799</v>
      </c>
      <c r="H24" s="16">
        <v>11.28</v>
      </c>
    </row>
    <row r="25" spans="1:88" x14ac:dyDescent="0.25">
      <c r="A25" s="8">
        <v>4</v>
      </c>
      <c r="B25" s="23">
        <v>10</v>
      </c>
      <c r="C25" s="16">
        <v>1503.4611922116601</v>
      </c>
      <c r="D25" s="16">
        <v>9.7799999999999994</v>
      </c>
      <c r="E25" s="16">
        <v>1600.7815144163701</v>
      </c>
      <c r="F25" s="16">
        <v>9.6999999999999993</v>
      </c>
      <c r="G25" s="16">
        <v>1765.6894225337401</v>
      </c>
      <c r="H25" s="16">
        <v>9.2899999999999991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211.17494654256001</v>
      </c>
      <c r="D26" s="16">
        <v>29.59</v>
      </c>
      <c r="E26" s="16">
        <v>248.73972068715</v>
      </c>
      <c r="F26" s="16">
        <v>28.6</v>
      </c>
      <c r="G26" s="16">
        <v>302.25864601284002</v>
      </c>
      <c r="H26" s="16">
        <v>26.55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398.99881726551001</v>
      </c>
      <c r="D27" s="16">
        <v>24.36</v>
      </c>
      <c r="E27" s="16">
        <v>459.47955401567998</v>
      </c>
      <c r="F27" s="16">
        <v>23.44</v>
      </c>
      <c r="G27" s="16">
        <v>535.18925325689997</v>
      </c>
      <c r="H27" s="16">
        <v>21.78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675.73082138859002</v>
      </c>
      <c r="D28" s="16">
        <v>19.170000000000002</v>
      </c>
      <c r="E28" s="16">
        <v>760.86797360046</v>
      </c>
      <c r="F28" s="16">
        <v>18.440000000000001</v>
      </c>
      <c r="G28" s="16">
        <v>863.40965437352997</v>
      </c>
      <c r="H28" s="16">
        <v>17.36</v>
      </c>
      <c r="I28" s="3"/>
      <c r="J28" s="3"/>
      <c r="K28" s="3"/>
      <c r="L28" s="3"/>
      <c r="M28" s="32">
        <f t="shared" ref="M28:N36" si="7">A23</f>
        <v>4</v>
      </c>
      <c r="N28" s="32">
        <f t="shared" si="7"/>
        <v>0.1</v>
      </c>
      <c r="O28" s="33">
        <f>C40</f>
        <v>914.31790041504007</v>
      </c>
      <c r="P28" s="33">
        <f>E40</f>
        <v>14.803333333333335</v>
      </c>
      <c r="Q28" s="34">
        <f>LOG10(O28)</f>
        <v>2.9610972224206091</v>
      </c>
      <c r="R28" s="34">
        <f t="shared" ref="R28:R33" si="8">$N$42+($P$23-$N$42)/(1+EXP($O$42+$P$42*(LOG10(N28)+$Q$42/19.147142*(1/(273.2+M28)-1/($M$23+273.2)))))</f>
        <v>2.9296764969048388</v>
      </c>
      <c r="S28" s="34">
        <f>Q28-R28</f>
        <v>3.1420725515770354E-2</v>
      </c>
      <c r="T28" s="35">
        <f>S28^2</f>
        <v>9.8726199193738219E-4</v>
      </c>
      <c r="U28" s="34">
        <f>$Q$42/19.147143*(1/(M28+273.15)-1/($M$23+273.15))</f>
        <v>2.1032449788893639</v>
      </c>
      <c r="V28" s="34">
        <f>LOG10(N28)+U28</f>
        <v>1.1032449788893639</v>
      </c>
      <c r="W28" s="34">
        <f>10^V28</f>
        <v>12.683671306454308</v>
      </c>
    </row>
    <row r="29" spans="1:88" s="4" customFormat="1" x14ac:dyDescent="0.25">
      <c r="A29" s="15">
        <v>35</v>
      </c>
      <c r="B29" s="23">
        <v>0.1</v>
      </c>
      <c r="C29" s="16">
        <v>59.015855596268999</v>
      </c>
      <c r="D29" s="16">
        <v>34.020000000000003</v>
      </c>
      <c r="E29" s="16">
        <v>65.513546259116993</v>
      </c>
      <c r="F29" s="16">
        <v>32.57</v>
      </c>
      <c r="G29" s="16">
        <v>75.840233205429001</v>
      </c>
      <c r="H29" s="16">
        <v>32.4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1252.159138153</v>
      </c>
      <c r="P29" s="33">
        <f>E39</f>
        <v>11.796666666666667</v>
      </c>
      <c r="Q29" s="34">
        <f t="shared" ref="Q29:Q33" si="9">LOG10(O29)</f>
        <v>3.0976595273006997</v>
      </c>
      <c r="R29" s="34">
        <f t="shared" si="8"/>
        <v>3.0927186413959049</v>
      </c>
      <c r="S29" s="34">
        <f t="shared" ref="S29:S33" si="10">Q29-R29</f>
        <v>4.9408859047948006E-3</v>
      </c>
      <c r="T29" s="35">
        <f t="shared" ref="T29:T33" si="11">S29^2</f>
        <v>2.4412353524199934E-5</v>
      </c>
      <c r="U29" s="34">
        <f t="shared" ref="U29:U33" si="12">$Q$42/19.147143*(1/(M29+273.15)-1/($M$23+273.15))</f>
        <v>2.1032449788893639</v>
      </c>
      <c r="V29" s="34">
        <f t="shared" ref="V29:V33" si="13">LOG10(N29)+U29</f>
        <v>2.1032449788893639</v>
      </c>
      <c r="W29" s="34">
        <f t="shared" ref="W29:W33" si="14">10^V29</f>
        <v>126.83671306454309</v>
      </c>
    </row>
    <row r="30" spans="1:88" s="4" customFormat="1" x14ac:dyDescent="0.25">
      <c r="A30" s="15">
        <v>35</v>
      </c>
      <c r="B30" s="23">
        <v>1</v>
      </c>
      <c r="C30" s="16">
        <v>134.33395294486201</v>
      </c>
      <c r="D30" s="16">
        <v>32.51</v>
      </c>
      <c r="E30" s="16">
        <v>150.54917205437999</v>
      </c>
      <c r="F30" s="16">
        <v>31.47</v>
      </c>
      <c r="G30" s="16">
        <v>167.22851192553</v>
      </c>
      <c r="H30" s="16">
        <v>30.78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1623.3107097205902</v>
      </c>
      <c r="P30" s="33">
        <f>E38</f>
        <v>9.5899999999999981</v>
      </c>
      <c r="Q30" s="34">
        <f t="shared" si="9"/>
        <v>3.2104016539003264</v>
      </c>
      <c r="R30" s="34">
        <f t="shared" si="8"/>
        <v>3.2120874193384572</v>
      </c>
      <c r="S30" s="34">
        <f t="shared" si="10"/>
        <v>-1.6857654381308151E-3</v>
      </c>
      <c r="T30" s="35">
        <f t="shared" si="11"/>
        <v>2.8418051123963792E-6</v>
      </c>
      <c r="U30" s="34">
        <f t="shared" si="12"/>
        <v>2.1032449788893639</v>
      </c>
      <c r="V30" s="34">
        <f t="shared" si="13"/>
        <v>3.1032449788893639</v>
      </c>
      <c r="W30" s="34">
        <f t="shared" si="14"/>
        <v>1268.3671306454312</v>
      </c>
    </row>
    <row r="31" spans="1:88" s="4" customFormat="1" x14ac:dyDescent="0.25">
      <c r="A31" s="15">
        <v>35</v>
      </c>
      <c r="B31" s="23">
        <v>10</v>
      </c>
      <c r="C31" s="16">
        <v>292.54111756616999</v>
      </c>
      <c r="D31" s="16">
        <v>27.86</v>
      </c>
      <c r="E31" s="16">
        <v>321.69370290618002</v>
      </c>
      <c r="F31" s="16">
        <v>27.13</v>
      </c>
      <c r="G31" s="16">
        <v>347.36538253395003</v>
      </c>
      <c r="H31" s="16">
        <v>26.6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254.05777108084999</v>
      </c>
      <c r="P31" s="33">
        <f>E43</f>
        <v>28.246666666666666</v>
      </c>
      <c r="Q31" s="34">
        <f t="shared" si="9"/>
        <v>2.4049324835837087</v>
      </c>
      <c r="R31" s="34">
        <f t="shared" si="8"/>
        <v>2.4162256760510878</v>
      </c>
      <c r="S31" s="34">
        <f t="shared" si="10"/>
        <v>-1.1293192467379143E-2</v>
      </c>
      <c r="T31" s="35">
        <f t="shared" si="11"/>
        <v>1.2753619610526902E-4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464.55587484603001</v>
      </c>
      <c r="P32" s="33">
        <f>E42</f>
        <v>23.193333333333332</v>
      </c>
      <c r="Q32" s="34">
        <f t="shared" si="9"/>
        <v>2.6670379566029321</v>
      </c>
      <c r="R32" s="34">
        <f t="shared" si="8"/>
        <v>2.6901472011803782</v>
      </c>
      <c r="S32" s="34">
        <f t="shared" si="10"/>
        <v>-2.310924457744612E-2</v>
      </c>
      <c r="T32" s="35">
        <f t="shared" si="11"/>
        <v>5.3403718494022287E-4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766.66948312086004</v>
      </c>
      <c r="P33" s="33">
        <f>E41</f>
        <v>18.323333333333334</v>
      </c>
      <c r="Q33" s="34">
        <f t="shared" si="9"/>
        <v>2.8846081767348015</v>
      </c>
      <c r="R33" s="34">
        <f t="shared" si="8"/>
        <v>2.9101573768830815</v>
      </c>
      <c r="S33" s="34">
        <f t="shared" si="10"/>
        <v>-2.5549200148279994E-2</v>
      </c>
      <c r="T33" s="35">
        <f t="shared" si="11"/>
        <v>6.5276162821687042E-4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35</v>
      </c>
      <c r="N34" s="32">
        <f t="shared" si="7"/>
        <v>0.1</v>
      </c>
      <c r="O34" s="33">
        <f>C46</f>
        <v>66.789878353605005</v>
      </c>
      <c r="P34" s="33">
        <f>E46</f>
        <v>32.99666666666667</v>
      </c>
      <c r="Q34" s="34">
        <f>LOG10(O34)</f>
        <v>1.8247106524719778</v>
      </c>
      <c r="R34" s="34">
        <f>$N$42+($P$23-$N$42)/(1+EXP($O$42+$P$42*(LOG10(N34)+$Q$42/19.147142*(1/(273.2+M34)-1/($M$23+273.2)))))</f>
        <v>1.8276960916968295</v>
      </c>
      <c r="S34" s="34">
        <f>Q34-R34</f>
        <v>-2.9854392248516159E-3</v>
      </c>
      <c r="T34" s="35">
        <f>S34^2</f>
        <v>8.912847365282617E-6</v>
      </c>
      <c r="U34" s="34">
        <f>$Q$42/19.147143*(1/(M34+273.15)-1/($M$23+273.15))</f>
        <v>-1.7734291717685817</v>
      </c>
      <c r="V34" s="34">
        <f>LOG10(N34)+U34</f>
        <v>-2.7734291717685817</v>
      </c>
      <c r="W34" s="34">
        <f>10^V34</f>
        <v>1.6848871893003839E-3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35</v>
      </c>
      <c r="N35" s="32">
        <f t="shared" si="7"/>
        <v>1</v>
      </c>
      <c r="O35" s="33">
        <f>C45</f>
        <v>150.70387897492401</v>
      </c>
      <c r="P35" s="33">
        <f>E45</f>
        <v>31.586666666666662</v>
      </c>
      <c r="Q35" s="34">
        <f>LOG10(O35)</f>
        <v>2.178124430786593</v>
      </c>
      <c r="R35" s="34">
        <f>$N$42+($P$23-$N$42)/(1+EXP($O$42+$P$42*(LOG10(N35)+$Q$42/19.147142*(1/(273.2+M35)-1/($M$23+273.2)))))</f>
        <v>2.1719049860215018</v>
      </c>
      <c r="S35" s="34">
        <f>Q35-R35</f>
        <v>6.2194447650911755E-3</v>
      </c>
      <c r="T35" s="35">
        <f>S35^2</f>
        <v>3.8681493186020029E-5</v>
      </c>
      <c r="U35" s="34">
        <f>$Q$42/19.147143*(1/(M35+273.15)-1/($M$23+273.15))</f>
        <v>-1.7734291717685817</v>
      </c>
      <c r="V35" s="34">
        <f>LOG10(N35)+U35</f>
        <v>-1.7734291717685817</v>
      </c>
      <c r="W35" s="34">
        <f>10^V35</f>
        <v>1.6848871893003842E-2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35</v>
      </c>
      <c r="N36" s="32">
        <f t="shared" si="7"/>
        <v>10</v>
      </c>
      <c r="O36" s="33">
        <f>C44</f>
        <v>320.53340100209999</v>
      </c>
      <c r="P36" s="33">
        <f>E44</f>
        <v>27.196666666666669</v>
      </c>
      <c r="Q36" s="34">
        <f>LOG10(O36)</f>
        <v>2.505873291624221</v>
      </c>
      <c r="R36" s="34">
        <f>$N$42+($P$23-$N$42)/(1+EXP($O$42+$P$42*(LOG10(N36)+$Q$42/19.147142*(1/(273.2+M36)-1/($M$23+273.2)))))</f>
        <v>2.4829718342172549</v>
      </c>
      <c r="S36" s="34">
        <f>Q36-R36</f>
        <v>2.2901457406966141E-2</v>
      </c>
      <c r="T36" s="35">
        <f>S36^2</f>
        <v>5.2447675136308434E-4</v>
      </c>
      <c r="U36" s="34">
        <f>$Q$42/19.147143*(1/(M36+273.15)-1/($M$23+273.15))</f>
        <v>-1.7734291717685817</v>
      </c>
      <c r="V36" s="34">
        <f>LOG10(N36)+U36</f>
        <v>-0.77342917176858172</v>
      </c>
      <c r="W36" s="34">
        <f>10^V36</f>
        <v>0.16848871893003853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P37" s="32" t="s">
        <v>68</v>
      </c>
      <c r="Q37" s="35">
        <f>STDEV(Q28:Q36)</f>
        <v>0.45410321516917135</v>
      </c>
      <c r="S37" s="32" t="s">
        <v>69</v>
      </c>
      <c r="T37" s="35">
        <f>SUM(T28:T36)</f>
        <v>2.9009222517507281E-3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1623.3107097205902</v>
      </c>
      <c r="D38" s="23">
        <f>(STDEV(C25,E25,G25)/C38)*100</f>
        <v>8.1658953689369973</v>
      </c>
      <c r="E38" s="23">
        <f>AVERAGE(D25,F25,H25)</f>
        <v>9.5899999999999981</v>
      </c>
      <c r="F38" s="23">
        <f>STDEV(D25,F25,H25)</f>
        <v>0.26286878856189838</v>
      </c>
      <c r="G38" s="3"/>
      <c r="H38" s="3"/>
      <c r="I38" s="26" t="s">
        <v>32</v>
      </c>
      <c r="J38" s="8">
        <v>20</v>
      </c>
      <c r="K38" s="3"/>
      <c r="L38" s="3"/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1252.159138153</v>
      </c>
      <c r="D39" s="23">
        <f>(STDEV(C24,E24,G24)/C39)*100</f>
        <v>9.0127839122012894</v>
      </c>
      <c r="E39" s="23">
        <f>AVERAGE(D24,F24,H24)</f>
        <v>11.796666666666667</v>
      </c>
      <c r="F39" s="23">
        <f>STDEV(D24,F24,H24)</f>
        <v>0.4521430452117266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914.31790041504007</v>
      </c>
      <c r="D40" s="23">
        <f>(STDEV(C23,E23,G23)/C40)*100</f>
        <v>10.183874253880809</v>
      </c>
      <c r="E40" s="23">
        <f>AVERAGE(D23,F23,H23)</f>
        <v>14.803333333333335</v>
      </c>
      <c r="F40" s="23">
        <f>STDEV(D23,F23,H23)</f>
        <v>0.6698009654616307</v>
      </c>
      <c r="G40" s="3"/>
      <c r="H40" s="3"/>
      <c r="I40" s="12" t="s">
        <v>94</v>
      </c>
      <c r="J40" s="59">
        <f>G115</f>
        <v>4876.9516246339608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766.66948312086004</v>
      </c>
      <c r="D41" s="23">
        <f>(STDEV(C28,E28,G28)/C41)*100</f>
        <v>12.257410014838575</v>
      </c>
      <c r="E41" s="23">
        <f>AVERAGE(D28,F28,H28)</f>
        <v>18.323333333333334</v>
      </c>
      <c r="F41" s="23">
        <f>STDEV(D28,F28,H28)</f>
        <v>0.91062249770875714</v>
      </c>
      <c r="G41" s="3"/>
      <c r="H41" s="3"/>
      <c r="I41" s="69" t="s">
        <v>35</v>
      </c>
      <c r="J41" s="62">
        <f>AVERAGE(E41:E42)</f>
        <v>20.758333333333333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464.55587484603001</v>
      </c>
      <c r="D42" s="23">
        <f>(STDEV(C27,E27,G27)/C42)*100</f>
        <v>14.688648676204993</v>
      </c>
      <c r="E42" s="23">
        <f>AVERAGE(D27,F27,H27)</f>
        <v>23.193333333333332</v>
      </c>
      <c r="F42" s="23">
        <f>STDEV(D27,F27,H27)</f>
        <v>1.3075677165383564</v>
      </c>
      <c r="G42" s="3"/>
      <c r="H42" s="3"/>
      <c r="I42" s="32" t="s">
        <v>105</v>
      </c>
      <c r="J42" s="70">
        <f>(COS(RADIANS(J41)))^2</f>
        <v>0.87438147037303471</v>
      </c>
      <c r="K42" s="3"/>
      <c r="L42" s="3"/>
      <c r="M42" s="38" t="s">
        <v>78</v>
      </c>
      <c r="N42" s="39">
        <f>N43</f>
        <v>-3.398710761939043E-2</v>
      </c>
      <c r="O42" s="39">
        <f>O43*-1</f>
        <v>-1.2345733007932997</v>
      </c>
      <c r="P42" s="39">
        <f>P43*-1</f>
        <v>-0.4028112682675728</v>
      </c>
      <c r="Q42" s="40">
        <f>Q43*200000</f>
        <v>204493.09141198947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254.05777108084999</v>
      </c>
      <c r="D43" s="23">
        <f>(STDEV(C26,E26,G26)/C43)*100</f>
        <v>18.017214578452947</v>
      </c>
      <c r="E43" s="23">
        <f>AVERAGE(D26,F26,H26)</f>
        <v>28.246666666666666</v>
      </c>
      <c r="F43" s="23">
        <f>STDEV(D26,F26,H26)</f>
        <v>1.5504945447609071</v>
      </c>
      <c r="G43" s="3"/>
      <c r="H43" s="3"/>
      <c r="I43" s="32" t="s">
        <v>106</v>
      </c>
      <c r="J43" s="70">
        <f>SIN(RADIANS(J41))</f>
        <v>0.35442704415290516</v>
      </c>
      <c r="K43" s="3"/>
      <c r="L43" s="3"/>
      <c r="M43" s="38" t="s">
        <v>80</v>
      </c>
      <c r="N43" s="39">
        <v>-3.398710761939043E-2</v>
      </c>
      <c r="O43" s="39">
        <v>1.2345733007932997</v>
      </c>
      <c r="P43" s="39">
        <v>0.4028112682675728</v>
      </c>
      <c r="Q43" s="41">
        <v>1.0224654570599474</v>
      </c>
      <c r="R43" s="4" t="s">
        <v>81</v>
      </c>
    </row>
    <row r="44" spans="1:23" s="4" customFormat="1" ht="18" x14ac:dyDescent="0.35">
      <c r="A44" s="63">
        <f>A29</f>
        <v>35</v>
      </c>
      <c r="B44" s="23">
        <f>B31</f>
        <v>10</v>
      </c>
      <c r="C44" s="23">
        <f>AVERAGE(C31,E31,G31)</f>
        <v>320.53340100209999</v>
      </c>
      <c r="D44" s="23">
        <f>(STDEV(C31,E31,G31)/C44)*100</f>
        <v>8.5577801582341451</v>
      </c>
      <c r="E44" s="23">
        <f>AVERAGE(D31,F31,H31)</f>
        <v>27.196666666666669</v>
      </c>
      <c r="F44" s="23">
        <f>STDEV(D31,F31,H31)</f>
        <v>0.63263997133704108</v>
      </c>
      <c r="G44" s="3"/>
      <c r="H44" s="3"/>
      <c r="I44" s="12" t="s">
        <v>107</v>
      </c>
      <c r="J44" s="59">
        <f>(J40*J42)/J43</f>
        <v>12031.576604650723</v>
      </c>
      <c r="K44" s="3"/>
      <c r="L44" s="3"/>
    </row>
    <row r="45" spans="1:23" s="4" customFormat="1" x14ac:dyDescent="0.25">
      <c r="A45" s="63">
        <f>A30</f>
        <v>35</v>
      </c>
      <c r="B45" s="23">
        <f>B30</f>
        <v>1</v>
      </c>
      <c r="C45" s="23">
        <f>AVERAGE(C30,E30,G30)</f>
        <v>150.70387897492401</v>
      </c>
      <c r="D45" s="23">
        <f>(STDEV(C30,E30,G30)/C45)*100</f>
        <v>10.914002543651577</v>
      </c>
      <c r="E45" s="23">
        <f>AVERAGE(D30,F30,H30)</f>
        <v>31.586666666666662</v>
      </c>
      <c r="F45" s="23">
        <f>STDEV(D30,F30,H30)</f>
        <v>0.87088078020664261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63">
        <f>A31</f>
        <v>35</v>
      </c>
      <c r="B46" s="23">
        <f>B29</f>
        <v>0.1</v>
      </c>
      <c r="C46" s="23">
        <f>AVERAGE(C29,E29,G29)</f>
        <v>66.789878353605005</v>
      </c>
      <c r="D46" s="23">
        <f>(STDEV(C29,E29,G29)/C46)*100</f>
        <v>12.703267533225212</v>
      </c>
      <c r="E46" s="23">
        <f>AVERAGE(D29,F29,H29)</f>
        <v>32.99666666666667</v>
      </c>
      <c r="F46" s="23">
        <f>STDEV(D29,F29,H29)</f>
        <v>0.89029957504950952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3.4424443163748988</v>
      </c>
      <c r="O46" s="44">
        <f t="shared" ref="O46" si="17">10^N46</f>
        <v>2769.7738862778137</v>
      </c>
    </row>
    <row r="47" spans="1:23" s="4" customFormat="1" x14ac:dyDescent="0.25">
      <c r="A47" s="3"/>
      <c r="B47" s="45"/>
      <c r="C47" s="24"/>
      <c r="D47" s="24"/>
      <c r="E47" s="24"/>
      <c r="F47" s="24"/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3.4227885933974442</v>
      </c>
      <c r="O47" s="44">
        <f>10^N47</f>
        <v>2647.2112109676541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3.3937946537566837</v>
      </c>
      <c r="O48" s="44">
        <f>10^N48</f>
        <v>2476.2509419911071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3.351315849654358</v>
      </c>
      <c r="O49" s="44">
        <f t="shared" ref="O49:O62" si="18">10^N49</f>
        <v>2245.5144269370071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3.2896964451361197</v>
      </c>
      <c r="O50" s="44">
        <f t="shared" si="18"/>
        <v>1948.4822107967866</v>
      </c>
    </row>
    <row r="51" spans="1:15" s="4" customFormat="1" x14ac:dyDescent="0.25">
      <c r="A51" s="24">
        <f>O23</f>
        <v>3039.1930675516924</v>
      </c>
      <c r="B51" s="45">
        <f>10^N42</f>
        <v>0.92472562475387066</v>
      </c>
      <c r="C51" s="46">
        <f>O42</f>
        <v>-1.2345733007932997</v>
      </c>
      <c r="D51" s="46">
        <f>P42</f>
        <v>-0.4028112682675728</v>
      </c>
      <c r="E51" s="47">
        <f>Q42</f>
        <v>204493.09141198947</v>
      </c>
      <c r="F51" s="48">
        <f>S23</f>
        <v>0.9953107252320712</v>
      </c>
      <c r="G51" s="45">
        <f>R23/Q37</f>
        <v>4.8421455822438585E-2</v>
      </c>
      <c r="H51" s="3"/>
      <c r="I51" s="3"/>
      <c r="J51" s="3"/>
      <c r="K51" s="3"/>
      <c r="L51" s="3"/>
      <c r="M51" s="43">
        <v>1000</v>
      </c>
      <c r="N51" s="21">
        <f t="shared" si="16"/>
        <v>3.2015894583566742</v>
      </c>
      <c r="O51" s="44">
        <f t="shared" si="18"/>
        <v>1590.7043120668868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3.0781680131461537</v>
      </c>
      <c r="O52" s="44">
        <f t="shared" si="18"/>
        <v>1197.2035973793686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2.9101573768830815</v>
      </c>
      <c r="O53" s="44">
        <f t="shared" si="18"/>
        <v>813.12511791197176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2.6901472011803782</v>
      </c>
      <c r="O54" s="44">
        <f t="shared" si="18"/>
        <v>489.94485472682658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2.4162256760510878</v>
      </c>
      <c r="O55" s="44">
        <f t="shared" si="18"/>
        <v>260.75081591509587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2.0958351166689924</v>
      </c>
      <c r="O56" s="44">
        <f t="shared" si="18"/>
        <v>124.69100251249843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1.7473657707389365</v>
      </c>
      <c r="O57" s="44">
        <f t="shared" si="18"/>
        <v>55.894074665332916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1.3970816583110752</v>
      </c>
      <c r="O58" s="44">
        <f t="shared" si="18"/>
        <v>24.950638177389223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1.0717877664577837</v>
      </c>
      <c r="O59" s="44">
        <f t="shared" si="18"/>
        <v>11.797439706442791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0.79118176587304878</v>
      </c>
      <c r="O60" s="44">
        <f t="shared" si="18"/>
        <v>6.1827511353728424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0.5641185221149162</v>
      </c>
      <c r="O61" s="18">
        <f t="shared" si="18"/>
        <v>3.6653759176753593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0.38970132058406709</v>
      </c>
      <c r="O62" s="18">
        <f t="shared" si="18"/>
        <v>2.4530213073917073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S13-1 RH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4.1533899669698968</v>
      </c>
      <c r="E85" s="57">
        <f>10^(LOG(C85)+D85)</f>
        <v>355901.62885333347</v>
      </c>
      <c r="F85" s="58">
        <f>10^($N$42+($P$23-$N$42)/(1+EXP($O$42+$P$42*(LOG10(C85)+$Q$42/19.147142*(1/(273.2+A85)-1/($M$23+273.2))))))</f>
        <v>2380.3518705685569</v>
      </c>
      <c r="G85" s="59">
        <f>F85*6.89476</f>
        <v>16411.954863121264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4.1533899669698968</v>
      </c>
      <c r="E86" s="57">
        <f t="shared" ref="E86:E115" si="20">10^(LOG(C86)+D86)</f>
        <v>142360.6515413335</v>
      </c>
      <c r="F86" s="58">
        <f t="shared" ref="F86:F115" si="21">10^($N$42+($P$23-$N$42)/(1+EXP($O$42+$P$42*(LOG10(C86)+$Q$42/19.147142*(1/(273.2+A86)-1/($M$23+273.2))))))</f>
        <v>2284.7677217664664</v>
      </c>
      <c r="G86" s="59">
        <f t="shared" ref="G86:G115" si="22">F86*6.89476</f>
        <v>15752.925097326561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4.1533899669698968</v>
      </c>
      <c r="E87" s="57">
        <f t="shared" si="20"/>
        <v>71180.32577066675</v>
      </c>
      <c r="F87" s="58">
        <f t="shared" si="21"/>
        <v>2205.4631043399722</v>
      </c>
      <c r="G87" s="59">
        <f t="shared" si="22"/>
        <v>15206.138793279066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4.1533899669698968</v>
      </c>
      <c r="E88" s="57">
        <f t="shared" si="20"/>
        <v>14236.065154133335</v>
      </c>
      <c r="F88" s="58">
        <f t="shared" si="21"/>
        <v>1997.8413536586515</v>
      </c>
      <c r="G88" s="59">
        <f t="shared" si="22"/>
        <v>13774.636651551524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4.1533899669698968</v>
      </c>
      <c r="E89" s="57">
        <f t="shared" si="20"/>
        <v>7118.0325770666668</v>
      </c>
      <c r="F89" s="58">
        <f t="shared" si="21"/>
        <v>1898.6172558279416</v>
      </c>
      <c r="G89" s="59">
        <f t="shared" si="22"/>
        <v>13090.510310792259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4.1533899669698968</v>
      </c>
      <c r="E90" s="57">
        <f t="shared" si="20"/>
        <v>1423.6065154133346</v>
      </c>
      <c r="F90" s="58">
        <f t="shared" si="21"/>
        <v>1648.2223574149375</v>
      </c>
      <c r="G90" s="59">
        <f t="shared" si="22"/>
        <v>11364.097581010214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2.0415479519567943</v>
      </c>
      <c r="E91" s="57">
        <f t="shared" si="20"/>
        <v>2750.9833420628174</v>
      </c>
      <c r="F91" s="58">
        <f t="shared" si="21"/>
        <v>1754.0748842540947</v>
      </c>
      <c r="G91" s="59">
        <f t="shared" si="22"/>
        <v>12093.925348959761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2.0415479519567943</v>
      </c>
      <c r="E92" s="57">
        <f t="shared" si="20"/>
        <v>1100.393336825126</v>
      </c>
      <c r="F92" s="58">
        <f t="shared" si="21"/>
        <v>1606.2568019909424</v>
      </c>
      <c r="G92" s="59">
        <f t="shared" si="22"/>
        <v>11074.75514809507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2.0415479519567943</v>
      </c>
      <c r="E93" s="57">
        <f t="shared" si="20"/>
        <v>550.19666841256299</v>
      </c>
      <c r="F93" s="58">
        <f t="shared" si="21"/>
        <v>1490.2343265041168</v>
      </c>
      <c r="G93" s="59">
        <f t="shared" si="22"/>
        <v>10274.808025007524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2.0415479519567943</v>
      </c>
      <c r="E94" s="57">
        <f t="shared" si="20"/>
        <v>110.03933368251258</v>
      </c>
      <c r="F94" s="58">
        <f t="shared" si="21"/>
        <v>1213.4441212580557</v>
      </c>
      <c r="G94" s="59">
        <f t="shared" si="22"/>
        <v>8366.4059894851925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2.0415479519567943</v>
      </c>
      <c r="E95" s="57">
        <f t="shared" si="20"/>
        <v>55.019666841256281</v>
      </c>
      <c r="F95" s="58">
        <f t="shared" si="21"/>
        <v>1094.2101365550234</v>
      </c>
      <c r="G95" s="59">
        <f t="shared" si="22"/>
        <v>7544.3162811141128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2.0415479519567943</v>
      </c>
      <c r="E96" s="57">
        <f t="shared" si="20"/>
        <v>11.003933368251261</v>
      </c>
      <c r="F96" s="58">
        <f t="shared" si="21"/>
        <v>827.9387053387818</v>
      </c>
      <c r="G96" s="59">
        <f t="shared" si="22"/>
        <v>5708.4386680216194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-0.13756547407607309</v>
      </c>
      <c r="E97" s="57">
        <f t="shared" si="20"/>
        <v>18.212708414636836</v>
      </c>
      <c r="F97" s="58">
        <f t="shared" si="21"/>
        <v>909.24870729772965</v>
      </c>
      <c r="G97" s="59">
        <f t="shared" si="22"/>
        <v>6269.0516171280942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-0.13756547407607309</v>
      </c>
      <c r="E98" s="57">
        <f t="shared" si="20"/>
        <v>7.2850833658547307</v>
      </c>
      <c r="F98" s="58">
        <f t="shared" si="21"/>
        <v>764.02013514479484</v>
      </c>
      <c r="G98" s="59">
        <f t="shared" si="22"/>
        <v>5267.7354669909255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-0.13756547407607309</v>
      </c>
      <c r="E99" s="57">
        <f t="shared" si="20"/>
        <v>3.6425416829273662</v>
      </c>
      <c r="F99" s="58">
        <f t="shared" si="21"/>
        <v>661.24203893310289</v>
      </c>
      <c r="G99" s="59">
        <f t="shared" si="22"/>
        <v>4559.1051603544001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-0.13756547407607309</v>
      </c>
      <c r="E100" s="57">
        <f t="shared" si="20"/>
        <v>0.72850833658547309</v>
      </c>
      <c r="F100" s="58">
        <f t="shared" si="21"/>
        <v>452.50196365026699</v>
      </c>
      <c r="G100" s="59">
        <f t="shared" si="22"/>
        <v>3119.8924388973146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-0.13756547407607309</v>
      </c>
      <c r="E101" s="57">
        <f t="shared" si="20"/>
        <v>0.36425416829273655</v>
      </c>
      <c r="F101" s="58">
        <f t="shared" si="21"/>
        <v>377.11041220539278</v>
      </c>
      <c r="G101" s="59">
        <f t="shared" si="22"/>
        <v>2600.0857856572538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-0.13756547407607309</v>
      </c>
      <c r="E102" s="57">
        <f t="shared" si="20"/>
        <v>7.2850833658547304E-2</v>
      </c>
      <c r="F102" s="58">
        <f t="shared" si="21"/>
        <v>236.93028145024556</v>
      </c>
      <c r="G102" s="59">
        <f t="shared" si="22"/>
        <v>1633.577427331895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-2.0830647961513096</v>
      </c>
      <c r="E103" s="57">
        <f t="shared" si="20"/>
        <v>0.20647867875549275</v>
      </c>
      <c r="F103" s="58">
        <f t="shared" si="21"/>
        <v>322.2968919662755</v>
      </c>
      <c r="G103" s="59">
        <f t="shared" si="22"/>
        <v>2222.1597188533974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-2.0830647961513096</v>
      </c>
      <c r="E104" s="57">
        <f t="shared" si="20"/>
        <v>8.2591471502197075E-2</v>
      </c>
      <c r="F104" s="58">
        <f t="shared" si="21"/>
        <v>246.2688406045329</v>
      </c>
      <c r="G104" s="59">
        <f t="shared" si="22"/>
        <v>1697.9645514465092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-2.0830647961513096</v>
      </c>
      <c r="E105" s="57">
        <f t="shared" si="20"/>
        <v>4.1295735751098531E-2</v>
      </c>
      <c r="F105" s="58">
        <f t="shared" si="21"/>
        <v>198.65994917504523</v>
      </c>
      <c r="G105" s="59">
        <f t="shared" si="22"/>
        <v>1369.7126711741348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-2.0830647961513096</v>
      </c>
      <c r="E106" s="57">
        <f t="shared" si="20"/>
        <v>8.2591471502197079E-3</v>
      </c>
      <c r="F106" s="58">
        <f t="shared" si="21"/>
        <v>116.91463734165875</v>
      </c>
      <c r="G106" s="59">
        <f t="shared" si="22"/>
        <v>806.09836495777506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-2.0830647961513096</v>
      </c>
      <c r="E107" s="57">
        <f t="shared" si="20"/>
        <v>4.1295735751098539E-3</v>
      </c>
      <c r="F107" s="58">
        <f t="shared" si="21"/>
        <v>92.093244178950528</v>
      </c>
      <c r="G107" s="59">
        <f t="shared" si="22"/>
        <v>634.96081623526095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-2.0830647961513096</v>
      </c>
      <c r="E108" s="57">
        <f t="shared" si="20"/>
        <v>8.2591471502197064E-4</v>
      </c>
      <c r="F108" s="58">
        <f t="shared" si="21"/>
        <v>52.263019400069304</v>
      </c>
      <c r="G108" s="59">
        <f t="shared" si="22"/>
        <v>360.34097563882182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-3.8306060072076504</v>
      </c>
      <c r="E109" s="57">
        <f t="shared" si="20"/>
        <v>3.6926147613496026E-3</v>
      </c>
      <c r="F109" s="58">
        <f t="shared" si="21"/>
        <v>88.61665629558648</v>
      </c>
      <c r="G109" s="59">
        <f t="shared" si="22"/>
        <v>610.99057716055779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-3.8306060072076504</v>
      </c>
      <c r="E110" s="57">
        <f t="shared" si="20"/>
        <v>1.4770459045398395E-3</v>
      </c>
      <c r="F110" s="58">
        <f t="shared" si="21"/>
        <v>64.229313174981172</v>
      </c>
      <c r="G110" s="59">
        <f t="shared" si="22"/>
        <v>442.84569930633319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-3.8306060072076504</v>
      </c>
      <c r="E111" s="57">
        <f t="shared" si="20"/>
        <v>7.3852295226991974E-4</v>
      </c>
      <c r="F111" s="58">
        <f t="shared" si="21"/>
        <v>50.256068449291298</v>
      </c>
      <c r="G111" s="59">
        <f t="shared" si="22"/>
        <v>346.50353050143565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-3.8306060072076504</v>
      </c>
      <c r="E112" s="57">
        <f t="shared" si="20"/>
        <v>1.4770459045398393E-4</v>
      </c>
      <c r="F112" s="58">
        <f t="shared" si="21"/>
        <v>28.560705762423481</v>
      </c>
      <c r="G112" s="59">
        <f t="shared" si="22"/>
        <v>196.91921166252692</v>
      </c>
    </row>
    <row r="113" spans="1:8" x14ac:dyDescent="0.25">
      <c r="A113" s="23">
        <v>54.444444444444443</v>
      </c>
      <c r="B113" s="8">
        <v>130</v>
      </c>
      <c r="C113" s="8">
        <v>0.5</v>
      </c>
      <c r="D113" s="56">
        <f t="shared" si="19"/>
        <v>-3.8306060072076504</v>
      </c>
      <c r="E113" s="57">
        <f t="shared" si="20"/>
        <v>7.3852295226992088E-5</v>
      </c>
      <c r="F113" s="58">
        <f t="shared" si="21"/>
        <v>22.528320369777891</v>
      </c>
      <c r="G113" s="59">
        <f t="shared" si="22"/>
        <v>155.32736215272982</v>
      </c>
    </row>
    <row r="114" spans="1:8" x14ac:dyDescent="0.25">
      <c r="A114" s="23">
        <v>54.444444444444443</v>
      </c>
      <c r="B114" s="8">
        <v>130</v>
      </c>
      <c r="C114" s="8">
        <v>0.1</v>
      </c>
      <c r="D114" s="56">
        <f t="shared" si="19"/>
        <v>-3.8306060072076504</v>
      </c>
      <c r="E114" s="57">
        <f t="shared" si="20"/>
        <v>1.4770459045398377E-5</v>
      </c>
      <c r="F114" s="58">
        <f t="shared" si="21"/>
        <v>13.321249821591977</v>
      </c>
      <c r="G114" s="59">
        <f t="shared" si="22"/>
        <v>91.846820419919496</v>
      </c>
    </row>
    <row r="115" spans="1:8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707.34175295934313</v>
      </c>
      <c r="G115" s="67">
        <f t="shared" si="22"/>
        <v>4876.9516246339608</v>
      </c>
      <c r="H115" s="68" t="s">
        <v>103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4FE7-BB87-43DF-BF4B-58CAD1A8574A}">
  <dimension ref="A1:CJ115"/>
  <sheetViews>
    <sheetView view="pageBreakPreview" topLeftCell="A13" zoomScale="80" zoomScaleNormal="70" zoomScaleSheetLayoutView="80" workbookViewId="0">
      <selection activeCell="I34" sqref="I34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9.42578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138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2.649</v>
      </c>
      <c r="F14" s="8" t="s">
        <v>14</v>
      </c>
      <c r="G14" s="60" t="s">
        <v>134</v>
      </c>
      <c r="H14" s="16">
        <v>7.5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6.84</v>
      </c>
      <c r="F15" s="8" t="s">
        <v>24</v>
      </c>
      <c r="G15" s="60" t="s">
        <v>139</v>
      </c>
      <c r="H15" s="16">
        <v>6.3</v>
      </c>
      <c r="M15" s="4" t="str">
        <f t="shared" ref="M15:N17" si="0">G14</f>
        <v>3A</v>
      </c>
      <c r="N15" s="18">
        <f t="shared" si="0"/>
        <v>7.5</v>
      </c>
      <c r="O15" s="4">
        <f>$B$14</f>
        <v>2.649</v>
      </c>
      <c r="P15" s="20">
        <f>$B$15</f>
        <v>6.84</v>
      </c>
      <c r="Q15" s="21">
        <f>$B$16</f>
        <v>2.407</v>
      </c>
      <c r="R15" s="21">
        <f t="shared" ref="R15:R17" si="1">((Q15*(N15-100))/-100)</f>
        <v>2.2264750000000002</v>
      </c>
      <c r="S15" s="18">
        <f t="shared" ref="S15:S17" si="2">100-((R15*(100-P15))/O15)</f>
        <v>21.699354095885226</v>
      </c>
      <c r="T15" s="18">
        <f t="shared" ref="T15:T17" si="3">100*((S15-N15)/S15)</f>
        <v>65.436759237814371</v>
      </c>
      <c r="U15" s="18"/>
      <c r="W15" s="18"/>
    </row>
    <row r="16" spans="1:23" x14ac:dyDescent="0.25">
      <c r="A16" s="8" t="s">
        <v>25</v>
      </c>
      <c r="B16" s="22">
        <v>2.407</v>
      </c>
      <c r="F16" s="8" t="s">
        <v>26</v>
      </c>
      <c r="G16" s="60" t="s">
        <v>140</v>
      </c>
      <c r="H16" s="16">
        <v>7</v>
      </c>
      <c r="M16" s="4" t="str">
        <f t="shared" si="0"/>
        <v>4A</v>
      </c>
      <c r="N16" s="18">
        <f t="shared" si="0"/>
        <v>6.3</v>
      </c>
      <c r="O16" s="4">
        <f t="shared" ref="O16:O17" si="4">$B$14</f>
        <v>2.649</v>
      </c>
      <c r="P16" s="20">
        <f t="shared" ref="P16:P17" si="5">$B$15</f>
        <v>6.84</v>
      </c>
      <c r="Q16" s="21">
        <f t="shared" ref="Q16:Q17" si="6">$B$16</f>
        <v>2.407</v>
      </c>
      <c r="R16" s="21">
        <f t="shared" si="1"/>
        <v>2.2553589999999999</v>
      </c>
      <c r="S16" s="18">
        <f t="shared" si="2"/>
        <v>20.683561932804849</v>
      </c>
      <c r="T16" s="18">
        <f t="shared" si="3"/>
        <v>69.541029632773359</v>
      </c>
      <c r="U16" s="18"/>
    </row>
    <row r="17" spans="1:88" x14ac:dyDescent="0.25">
      <c r="A17" s="8" t="s">
        <v>21</v>
      </c>
      <c r="B17" s="23">
        <f>AVERAGE(S15:S17)</f>
        <v>21.219674463319496</v>
      </c>
      <c r="M17" s="4" t="str">
        <f t="shared" si="0"/>
        <v>5D</v>
      </c>
      <c r="N17" s="18">
        <f t="shared" si="0"/>
        <v>7</v>
      </c>
      <c r="O17" s="4">
        <f t="shared" si="4"/>
        <v>2.649</v>
      </c>
      <c r="P17" s="20">
        <f t="shared" si="5"/>
        <v>6.84</v>
      </c>
      <c r="Q17" s="21">
        <f t="shared" si="6"/>
        <v>2.407</v>
      </c>
      <c r="R17" s="21">
        <f t="shared" si="1"/>
        <v>2.2385099999999998</v>
      </c>
      <c r="S17" s="18">
        <f t="shared" si="2"/>
        <v>21.276107361268416</v>
      </c>
      <c r="T17" s="18">
        <f t="shared" si="3"/>
        <v>67.09924479539437</v>
      </c>
    </row>
    <row r="18" spans="1:88" x14ac:dyDescent="0.25">
      <c r="A18" s="8" t="s">
        <v>22</v>
      </c>
      <c r="B18" s="23">
        <f>AVERAGE(T15:T17)</f>
        <v>67.359011221994038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1009.02754333557</v>
      </c>
      <c r="D23" s="16">
        <v>13.13</v>
      </c>
      <c r="E23" s="16">
        <v>1081.8364878165901</v>
      </c>
      <c r="F23" s="16">
        <v>12.67</v>
      </c>
      <c r="G23" s="16">
        <v>1104.89748816018</v>
      </c>
      <c r="H23" s="16">
        <v>12.25</v>
      </c>
      <c r="M23" s="4">
        <v>20</v>
      </c>
      <c r="N23" s="29">
        <f>(20+(B18*3*145000)/(B17))^0.58/(650+((B18*3*145000)/B17)^0.58)</f>
        <v>0.84854626925623788</v>
      </c>
      <c r="O23" s="18">
        <f>(N23*(4200000*(1-B17/100)+3*145000*(B17*B18)/10000)+(1-N23)/((1-B17/100)/4200000+B17/(3*B18*145000)))/1000</f>
        <v>3026.5175023015008</v>
      </c>
      <c r="P23" s="29">
        <f>LOG10(O23)</f>
        <v>3.4809431897737597</v>
      </c>
      <c r="R23" s="30">
        <f>(1/6*T37)^0.5</f>
        <v>1.1793550188278289E-2</v>
      </c>
      <c r="S23" s="30">
        <f>1-R23^2/Q37^2*12/6</f>
        <v>0.99823718679963569</v>
      </c>
      <c r="T23" s="30">
        <f>(1-8*R23^2/9*Q37^2)</f>
        <v>0.9999804903527314</v>
      </c>
    </row>
    <row r="24" spans="1:88" x14ac:dyDescent="0.25">
      <c r="A24" s="8">
        <v>4</v>
      </c>
      <c r="B24" s="23">
        <v>1</v>
      </c>
      <c r="C24" s="16">
        <v>1332.8968123119</v>
      </c>
      <c r="D24" s="16">
        <v>10.5</v>
      </c>
      <c r="E24" s="16">
        <v>1415.13320976357</v>
      </c>
      <c r="F24" s="16">
        <v>10.31</v>
      </c>
      <c r="G24" s="16">
        <v>1442.2552667714399</v>
      </c>
      <c r="H24" s="16">
        <v>9.9600000000000009</v>
      </c>
    </row>
    <row r="25" spans="1:88" x14ac:dyDescent="0.25">
      <c r="A25" s="8">
        <v>4</v>
      </c>
      <c r="B25" s="23">
        <v>10</v>
      </c>
      <c r="C25" s="16">
        <v>1682.72783639202</v>
      </c>
      <c r="D25" s="16">
        <v>8.75</v>
      </c>
      <c r="E25" s="16">
        <v>1773.08634717225</v>
      </c>
      <c r="F25" s="16">
        <v>8.5500000000000007</v>
      </c>
      <c r="G25" s="16">
        <v>1796.72749846788</v>
      </c>
      <c r="H25" s="16">
        <v>8.36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340.54860884748001</v>
      </c>
      <c r="D26" s="16">
        <v>24.6</v>
      </c>
      <c r="E26" s="16">
        <v>371.44164704360998</v>
      </c>
      <c r="F26" s="16">
        <v>23.5</v>
      </c>
      <c r="G26" s="16">
        <v>386.38053405864002</v>
      </c>
      <c r="H26" s="16">
        <v>23.57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574.34944251959996</v>
      </c>
      <c r="D27" s="16">
        <v>19.86</v>
      </c>
      <c r="E27" s="16">
        <v>614.96000916239996</v>
      </c>
      <c r="F27" s="16">
        <v>19.37</v>
      </c>
      <c r="G27" s="16">
        <v>630.76912260549</v>
      </c>
      <c r="H27" s="16">
        <v>19.13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877.62335269850996</v>
      </c>
      <c r="D28" s="16">
        <v>16.010000000000002</v>
      </c>
      <c r="E28" s="16">
        <v>926.06595719384995</v>
      </c>
      <c r="F28" s="16">
        <v>15.86</v>
      </c>
      <c r="G28" s="16">
        <v>946.66131599127004</v>
      </c>
      <c r="H28" s="16">
        <v>15.34</v>
      </c>
      <c r="I28" s="3"/>
      <c r="J28" s="3"/>
      <c r="K28" s="3"/>
      <c r="L28" s="3"/>
      <c r="M28" s="32">
        <f t="shared" ref="M28:N36" si="7">A23</f>
        <v>4</v>
      </c>
      <c r="N28" s="32">
        <f t="shared" si="7"/>
        <v>0.1</v>
      </c>
      <c r="O28" s="33">
        <f>C40</f>
        <v>1065.2538397707801</v>
      </c>
      <c r="P28" s="33">
        <f>E40</f>
        <v>12.683333333333332</v>
      </c>
      <c r="Q28" s="34">
        <f>LOG10(O28)</f>
        <v>3.0274531083155849</v>
      </c>
      <c r="R28" s="34">
        <f t="shared" ref="R28:R33" si="8">$N$42+($P$23-$N$42)/(1+EXP($O$42+$P$42*(LOG10(N28)+$Q$42/19.147142*(1/(273.2+M28)-1/($M$23+273.2)))))</f>
        <v>3.011569216076504</v>
      </c>
      <c r="S28" s="34">
        <f>Q28-R28</f>
        <v>1.5883892239080932E-2</v>
      </c>
      <c r="T28" s="35">
        <f>S28^2</f>
        <v>2.5229803266273545E-4</v>
      </c>
      <c r="U28" s="34">
        <f>$Q$42/19.147143*(1/(M28+273.15)-1/($M$23+273.15))</f>
        <v>2.2183801695380221</v>
      </c>
      <c r="V28" s="34">
        <f>LOG10(N28)+U28</f>
        <v>1.2183801695380221</v>
      </c>
      <c r="W28" s="34">
        <f>10^V28</f>
        <v>16.534085136221044</v>
      </c>
    </row>
    <row r="29" spans="1:88" s="4" customFormat="1" x14ac:dyDescent="0.25">
      <c r="A29" s="15">
        <v>35</v>
      </c>
      <c r="B29" s="23">
        <v>0.1</v>
      </c>
      <c r="C29" s="16">
        <v>101.39588264279101</v>
      </c>
      <c r="D29" s="16">
        <v>30.54</v>
      </c>
      <c r="E29" s="16">
        <v>109.082882757321</v>
      </c>
      <c r="F29" s="16">
        <v>29.83</v>
      </c>
      <c r="G29" s="16">
        <v>111.563028077292</v>
      </c>
      <c r="H29" s="16">
        <v>30.11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1396.7617629489698</v>
      </c>
      <c r="P29" s="33">
        <f>E39</f>
        <v>10.256666666666668</v>
      </c>
      <c r="Q29" s="34">
        <f t="shared" ref="Q29:Q33" si="9">LOG10(O29)</f>
        <v>3.1451223374958261</v>
      </c>
      <c r="R29" s="34">
        <f t="shared" si="8"/>
        <v>3.1433184394665434</v>
      </c>
      <c r="S29" s="34">
        <f t="shared" ref="S29:S33" si="10">Q29-R29</f>
        <v>1.8038980292827134E-3</v>
      </c>
      <c r="T29" s="35">
        <f t="shared" ref="T29:T33" si="11">S29^2</f>
        <v>3.2540481000500572E-6</v>
      </c>
      <c r="U29" s="34">
        <f t="shared" ref="U29:U33" si="12">$Q$42/19.147143*(1/(M29+273.15)-1/($M$23+273.15))</f>
        <v>2.2183801695380221</v>
      </c>
      <c r="V29" s="34">
        <f t="shared" ref="V29:V33" si="13">LOG10(N29)+U29</f>
        <v>2.2183801695380221</v>
      </c>
      <c r="W29" s="34">
        <f t="shared" ref="W29:W33" si="14">10^V29</f>
        <v>165.34085136221049</v>
      </c>
    </row>
    <row r="30" spans="1:88" s="4" customFormat="1" x14ac:dyDescent="0.25">
      <c r="A30" s="15">
        <v>35</v>
      </c>
      <c r="B30" s="23">
        <v>1</v>
      </c>
      <c r="C30" s="16">
        <v>209.43449368643999</v>
      </c>
      <c r="D30" s="16">
        <v>28.1</v>
      </c>
      <c r="E30" s="16">
        <v>221.47262594127</v>
      </c>
      <c r="F30" s="16">
        <v>28.08</v>
      </c>
      <c r="G30" s="16">
        <v>223.93826748743999</v>
      </c>
      <c r="H30" s="16">
        <v>28.16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1750.84722734405</v>
      </c>
      <c r="P30" s="33">
        <f>E38</f>
        <v>8.5533333333333328</v>
      </c>
      <c r="Q30" s="34">
        <f t="shared" si="9"/>
        <v>3.2432482527561821</v>
      </c>
      <c r="R30" s="34">
        <f t="shared" si="8"/>
        <v>3.2410590778846116</v>
      </c>
      <c r="S30" s="34">
        <f t="shared" si="10"/>
        <v>2.1891748715705539E-3</v>
      </c>
      <c r="T30" s="35">
        <f t="shared" si="11"/>
        <v>4.7924866183159516E-6</v>
      </c>
      <c r="U30" s="34">
        <f t="shared" si="12"/>
        <v>2.2183801695380221</v>
      </c>
      <c r="V30" s="34">
        <f t="shared" si="13"/>
        <v>3.2183801695380221</v>
      </c>
      <c r="W30" s="34">
        <f t="shared" si="14"/>
        <v>1653.4085136221051</v>
      </c>
    </row>
    <row r="31" spans="1:88" s="4" customFormat="1" x14ac:dyDescent="0.25">
      <c r="A31" s="15">
        <v>35</v>
      </c>
      <c r="B31" s="23">
        <v>10</v>
      </c>
      <c r="C31" s="16">
        <v>393.05227000709999</v>
      </c>
      <c r="D31" s="16">
        <v>24.42</v>
      </c>
      <c r="E31" s="16">
        <v>416.11327035069002</v>
      </c>
      <c r="F31" s="16">
        <v>24.55</v>
      </c>
      <c r="G31" s="16">
        <v>417.12853451676</v>
      </c>
      <c r="H31" s="16">
        <v>24.57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366.12359664990998</v>
      </c>
      <c r="P31" s="33">
        <f>E43</f>
        <v>23.89</v>
      </c>
      <c r="Q31" s="34">
        <f t="shared" si="9"/>
        <v>2.5636277200440607</v>
      </c>
      <c r="R31" s="34">
        <f t="shared" si="8"/>
        <v>2.5678355151382557</v>
      </c>
      <c r="S31" s="34">
        <f t="shared" si="10"/>
        <v>-4.2077950941949993E-3</v>
      </c>
      <c r="T31" s="35">
        <f t="shared" si="11"/>
        <v>1.7705539554731505E-5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606.69285809583005</v>
      </c>
      <c r="P32" s="33">
        <f>E42</f>
        <v>19.453333333333333</v>
      </c>
      <c r="Q32" s="34">
        <f t="shared" si="9"/>
        <v>2.7829688825197403</v>
      </c>
      <c r="R32" s="34">
        <f t="shared" si="8"/>
        <v>2.7955338438368522</v>
      </c>
      <c r="S32" s="34">
        <f t="shared" si="10"/>
        <v>-1.2564961317111933E-2</v>
      </c>
      <c r="T32" s="35">
        <f t="shared" si="11"/>
        <v>1.5787825290051926E-4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916.78354196121006</v>
      </c>
      <c r="P33" s="33">
        <f>E41</f>
        <v>15.736666666666666</v>
      </c>
      <c r="Q33" s="34">
        <f t="shared" si="9"/>
        <v>2.9622668082668726</v>
      </c>
      <c r="R33" s="34">
        <f t="shared" si="8"/>
        <v>2.9776977485945548</v>
      </c>
      <c r="S33" s="34">
        <f t="shared" si="10"/>
        <v>-1.5430940327682219E-2</v>
      </c>
      <c r="T33" s="35">
        <f t="shared" si="11"/>
        <v>2.3811391939648942E-4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35</v>
      </c>
      <c r="N34" s="32">
        <f t="shared" si="7"/>
        <v>0.1</v>
      </c>
      <c r="O34" s="33">
        <f>C46</f>
        <v>107.34726449246801</v>
      </c>
      <c r="P34" s="33">
        <f>E46</f>
        <v>30.159999999999997</v>
      </c>
      <c r="Q34" s="34">
        <f>LOG10(O34)</f>
        <v>2.0307909818792709</v>
      </c>
      <c r="R34" s="34">
        <f>$N$42+($P$23-$N$42)/(1+EXP($O$42+$P$42*(LOG10(N34)+$Q$42/19.147142*(1/(273.2+M34)-1/($M$23+273.2)))))</f>
        <v>2.0334683533921951</v>
      </c>
      <c r="S34" s="34">
        <f>Q34-R34</f>
        <v>-2.6773715129242426E-3</v>
      </c>
      <c r="T34" s="35">
        <f>S34^2</f>
        <v>7.1683182182182476E-6</v>
      </c>
      <c r="U34" s="34">
        <f>$Q$42/19.147143*(1/(M34+273.15)-1/($M$23+273.15))</f>
        <v>-1.8705096868026836</v>
      </c>
      <c r="V34" s="34">
        <f>LOG10(N34)+U34</f>
        <v>-2.8705096868026834</v>
      </c>
      <c r="W34" s="34">
        <f>10^V34</f>
        <v>1.3473806721044635E-3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35</v>
      </c>
      <c r="N35" s="32">
        <f t="shared" si="7"/>
        <v>1</v>
      </c>
      <c r="O35" s="33">
        <f>C45</f>
        <v>218.28179570505003</v>
      </c>
      <c r="P35" s="33">
        <f>E45</f>
        <v>28.113333333333333</v>
      </c>
      <c r="Q35" s="34">
        <f>LOG10(O35)</f>
        <v>2.3390175178689723</v>
      </c>
      <c r="R35" s="34">
        <f>$N$42+($P$23-$N$42)/(1+EXP($O$42+$P$42*(LOG10(N35)+$Q$42/19.147142*(1/(273.2+M35)-1/($M$23+273.2)))))</f>
        <v>2.3342848531417482</v>
      </c>
      <c r="S35" s="34">
        <f>Q35-R35</f>
        <v>4.7326647272241118E-3</v>
      </c>
      <c r="T35" s="35">
        <f>S35^2</f>
        <v>2.2398115420311276E-5</v>
      </c>
      <c r="U35" s="34">
        <f>$Q$42/19.147143*(1/(M35+273.15)-1/($M$23+273.15))</f>
        <v>-1.8705096868026836</v>
      </c>
      <c r="V35" s="34">
        <f>LOG10(N35)+U35</f>
        <v>-1.8705096868026836</v>
      </c>
      <c r="W35" s="34">
        <f>10^V35</f>
        <v>1.3473806721044637E-2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35</v>
      </c>
      <c r="N36" s="32">
        <f t="shared" si="7"/>
        <v>10</v>
      </c>
      <c r="O36" s="33">
        <f>C44</f>
        <v>408.76469162485</v>
      </c>
      <c r="P36" s="33">
        <f>E44</f>
        <v>24.513333333333332</v>
      </c>
      <c r="Q36" s="34">
        <f>LOG10(O36)</f>
        <v>2.6114733751532082</v>
      </c>
      <c r="R36" s="34">
        <f>$N$42+($P$23-$N$42)/(1+EXP($O$42+$P$42*(LOG10(N36)+$Q$42/19.147142*(1/(273.2+M36)-1/($M$23+273.2)))))</f>
        <v>2.600031424122494</v>
      </c>
      <c r="S36" s="34">
        <f>Q36-R36</f>
        <v>1.1441951030714215E-2</v>
      </c>
      <c r="T36" s="35">
        <f>S36^2</f>
        <v>1.3091824338926208E-4</v>
      </c>
      <c r="U36" s="34">
        <f>$Q$42/19.147143*(1/(M36+273.15)-1/($M$23+273.15))</f>
        <v>-1.8705096868026836</v>
      </c>
      <c r="V36" s="34">
        <f>LOG10(N36)+U36</f>
        <v>-0.87050968680268359</v>
      </c>
      <c r="W36" s="34">
        <f>10^V36</f>
        <v>0.13473806721044634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P37" s="32" t="s">
        <v>68</v>
      </c>
      <c r="Q37" s="35">
        <f>STDEV(Q28:Q36)</f>
        <v>0.39724314394101495</v>
      </c>
      <c r="S37" s="32" t="s">
        <v>69</v>
      </c>
      <c r="T37" s="35">
        <f>SUM(T28:T36)</f>
        <v>8.3452695626063333E-4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1750.84722734405</v>
      </c>
      <c r="D38" s="23">
        <f>(STDEV(C25,E25,G25)/C38)*100</f>
        <v>3.4363778282888156</v>
      </c>
      <c r="E38" s="23">
        <f>AVERAGE(D25,F25,H25)</f>
        <v>8.5533333333333328</v>
      </c>
      <c r="F38" s="23">
        <f>STDEV(D25,F25,H25)</f>
        <v>0.19502136635080125</v>
      </c>
      <c r="G38" s="3"/>
      <c r="H38" s="3"/>
      <c r="I38" s="26" t="s">
        <v>32</v>
      </c>
      <c r="J38" s="8">
        <v>20</v>
      </c>
      <c r="K38" s="3"/>
      <c r="L38" s="3"/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1396.7617629489698</v>
      </c>
      <c r="D39" s="23">
        <f>(STDEV(C24,E24,G24)/C39)*100</f>
        <v>4.0770667136637826</v>
      </c>
      <c r="E39" s="23">
        <f>AVERAGE(D24,F24,H24)</f>
        <v>10.256666666666668</v>
      </c>
      <c r="F39" s="23">
        <f>STDEV(D24,F24,H24)</f>
        <v>0.27392213005402305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1065.2538397707801</v>
      </c>
      <c r="D40" s="23">
        <f>(STDEV(C23,E23,G23)/C40)*100</f>
        <v>4.6974701775195724</v>
      </c>
      <c r="E40" s="23">
        <f>AVERAGE(D23,F23,H23)</f>
        <v>12.683333333333332</v>
      </c>
      <c r="F40" s="23">
        <f>STDEV(D23,F23,H23)</f>
        <v>0.44015148907317547</v>
      </c>
      <c r="G40" s="3"/>
      <c r="H40" s="3"/>
      <c r="I40" s="12" t="s">
        <v>94</v>
      </c>
      <c r="J40" s="59">
        <f>G115</f>
        <v>5835.0656786811514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916.78354196121006</v>
      </c>
      <c r="D41" s="23">
        <f>(STDEV(C28,E28,G28)/C41)*100</f>
        <v>3.8659796564517075</v>
      </c>
      <c r="E41" s="23">
        <f>AVERAGE(D28,F28,H28)</f>
        <v>15.736666666666666</v>
      </c>
      <c r="F41" s="23">
        <f>STDEV(D28,F28,H28)</f>
        <v>0.35161532010612639</v>
      </c>
      <c r="G41" s="3"/>
      <c r="H41" s="3"/>
      <c r="I41" s="69" t="s">
        <v>35</v>
      </c>
      <c r="J41" s="62">
        <f>AVERAGE(E41:E42)</f>
        <v>17.594999999999999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606.69285809583005</v>
      </c>
      <c r="D42" s="23">
        <f>(STDEV(C27,E27,G27)/C42)*100</f>
        <v>4.797188377039153</v>
      </c>
      <c r="E42" s="23">
        <f>AVERAGE(D27,F27,H27)</f>
        <v>19.453333333333333</v>
      </c>
      <c r="F42" s="23">
        <f>STDEV(D27,F27,H27)</f>
        <v>0.37206630233512594</v>
      </c>
      <c r="G42" s="3"/>
      <c r="H42" s="3"/>
      <c r="I42" s="32" t="s">
        <v>105</v>
      </c>
      <c r="J42" s="70">
        <f>(COS(RADIANS(J41)))^2</f>
        <v>0.90862274615355498</v>
      </c>
      <c r="K42" s="3"/>
      <c r="L42" s="3"/>
      <c r="M42" s="38" t="s">
        <v>78</v>
      </c>
      <c r="N42" s="39">
        <f>N43</f>
        <v>2.6955257425413735E-2</v>
      </c>
      <c r="O42" s="39">
        <f>O43*-1</f>
        <v>-1.3960730766886491</v>
      </c>
      <c r="P42" s="39">
        <f>P43*-1</f>
        <v>-0.37266102717864352</v>
      </c>
      <c r="Q42" s="40">
        <f>Q43*200000</f>
        <v>215687.38941453872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366.12359664990998</v>
      </c>
      <c r="D43" s="23">
        <f>(STDEV(C26,E26,G26)/C43)*100</f>
        <v>6.3842337821156336</v>
      </c>
      <c r="E43" s="23">
        <f>AVERAGE(D26,F26,H26)</f>
        <v>23.89</v>
      </c>
      <c r="F43" s="23">
        <f>STDEV(D26,F26,H26)</f>
        <v>0.61587336360651357</v>
      </c>
      <c r="G43" s="3"/>
      <c r="H43" s="3"/>
      <c r="I43" s="32" t="s">
        <v>106</v>
      </c>
      <c r="J43" s="70">
        <f>SIN(RADIANS(J41))</f>
        <v>0.30228670802144952</v>
      </c>
      <c r="K43" s="3"/>
      <c r="L43" s="3"/>
      <c r="M43" s="38" t="s">
        <v>80</v>
      </c>
      <c r="N43" s="39">
        <v>2.6955257425413735E-2</v>
      </c>
      <c r="O43" s="39">
        <v>1.3960730766886491</v>
      </c>
      <c r="P43" s="39">
        <v>0.37266102717864352</v>
      </c>
      <c r="Q43" s="41">
        <v>1.0784369470726936</v>
      </c>
      <c r="R43" s="4" t="s">
        <v>81</v>
      </c>
    </row>
    <row r="44" spans="1:23" s="4" customFormat="1" ht="18" x14ac:dyDescent="0.35">
      <c r="A44" s="63">
        <f>A29</f>
        <v>35</v>
      </c>
      <c r="B44" s="23">
        <f>B31</f>
        <v>10</v>
      </c>
      <c r="C44" s="23">
        <f>AVERAGE(C31,E31,G31)</f>
        <v>408.76469162485</v>
      </c>
      <c r="D44" s="23">
        <f>(STDEV(C31,E31,G31)/C44)*100</f>
        <v>3.331212810285368</v>
      </c>
      <c r="E44" s="23">
        <f>AVERAGE(D31,F31,H31)</f>
        <v>24.513333333333332</v>
      </c>
      <c r="F44" s="23">
        <f>STDEV(D31,F31,H31)</f>
        <v>8.144527815247006E-2</v>
      </c>
      <c r="G44" s="3"/>
      <c r="H44" s="3"/>
      <c r="I44" s="12" t="s">
        <v>107</v>
      </c>
      <c r="J44" s="59">
        <f>(J40*J42)/J43</f>
        <v>17539.221078068098</v>
      </c>
      <c r="K44" s="3"/>
      <c r="L44" s="3"/>
    </row>
    <row r="45" spans="1:23" s="4" customFormat="1" x14ac:dyDescent="0.25">
      <c r="A45" s="63">
        <f>A30</f>
        <v>35</v>
      </c>
      <c r="B45" s="23">
        <f>B30</f>
        <v>1</v>
      </c>
      <c r="C45" s="23">
        <f>AVERAGE(C30,E30,G30)</f>
        <v>218.28179570505003</v>
      </c>
      <c r="D45" s="23">
        <f>(STDEV(C30,E30,G30)/C45)*100</f>
        <v>3.5552829825041177</v>
      </c>
      <c r="E45" s="23">
        <f>AVERAGE(D30,F30,H30)</f>
        <v>28.113333333333333</v>
      </c>
      <c r="F45" s="23">
        <f>STDEV(D30,F30,H30)</f>
        <v>4.1633319989323188E-2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63">
        <f>A31</f>
        <v>35</v>
      </c>
      <c r="B46" s="23">
        <f>B29</f>
        <v>0.1</v>
      </c>
      <c r="C46" s="23">
        <f>AVERAGE(C29,E29,G29)</f>
        <v>107.34726449246801</v>
      </c>
      <c r="D46" s="23">
        <f>(STDEV(C29,E29,G29)/C46)*100</f>
        <v>4.9383009457629701</v>
      </c>
      <c r="E46" s="23">
        <f>AVERAGE(D29,F29,H29)</f>
        <v>30.159999999999997</v>
      </c>
      <c r="F46" s="23">
        <f>STDEV(D29,F29,H29)</f>
        <v>0.3576310948449537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3.4381044331656696</v>
      </c>
      <c r="O46" s="44">
        <f t="shared" ref="O46" si="17">10^N46</f>
        <v>2742.2335072602045</v>
      </c>
    </row>
    <row r="47" spans="1:23" s="4" customFormat="1" x14ac:dyDescent="0.25">
      <c r="A47" s="3"/>
      <c r="B47" s="45"/>
      <c r="C47" s="24"/>
      <c r="D47" s="24"/>
      <c r="E47" s="24"/>
      <c r="F47" s="24"/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3.4191051370277576</v>
      </c>
      <c r="O47" s="44">
        <f>10^N47</f>
        <v>2624.8539093589925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3.3918994751249376</v>
      </c>
      <c r="O48" s="44">
        <f>10^N48</f>
        <v>2465.46859636917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3.3531755034299131</v>
      </c>
      <c r="O49" s="44">
        <f t="shared" ref="O49:O62" si="18">10^N49</f>
        <v>2255.1503604158875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3.2985239270775497</v>
      </c>
      <c r="O50" s="44">
        <f t="shared" si="18"/>
        <v>1988.49236163973</v>
      </c>
    </row>
    <row r="51" spans="1:15" s="4" customFormat="1" x14ac:dyDescent="0.25">
      <c r="A51" s="24">
        <f>O23</f>
        <v>3026.5175023015008</v>
      </c>
      <c r="B51" s="45">
        <f>10^N42</f>
        <v>1.0640333920424825</v>
      </c>
      <c r="C51" s="46">
        <f>O42</f>
        <v>-1.3960730766886491</v>
      </c>
      <c r="D51" s="46">
        <f>P42</f>
        <v>-0.37266102717864352</v>
      </c>
      <c r="E51" s="47">
        <f>Q42</f>
        <v>215687.38941453872</v>
      </c>
      <c r="F51" s="48">
        <f>S23</f>
        <v>0.99823718679963569</v>
      </c>
      <c r="G51" s="45">
        <f>R23/Q37</f>
        <v>2.9688492723311709E-2</v>
      </c>
      <c r="H51" s="3"/>
      <c r="I51" s="3"/>
      <c r="J51" s="3"/>
      <c r="K51" s="3"/>
      <c r="L51" s="3"/>
      <c r="M51" s="43">
        <v>1000</v>
      </c>
      <c r="N51" s="21">
        <f t="shared" si="16"/>
        <v>3.22231324664053</v>
      </c>
      <c r="O51" s="44">
        <f t="shared" si="18"/>
        <v>1668.4501934827874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3.1177976075202682</v>
      </c>
      <c r="O52" s="44">
        <f t="shared" si="18"/>
        <v>1311.5885223411583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2.9776977485945548</v>
      </c>
      <c r="O53" s="44">
        <f t="shared" si="18"/>
        <v>949.94344130680031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2.7955338438368522</v>
      </c>
      <c r="O54" s="44">
        <f t="shared" si="18"/>
        <v>624.50201477354847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2.5678355151382557</v>
      </c>
      <c r="O55" s="44">
        <f t="shared" si="18"/>
        <v>369.6881374324945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2.2968459549219422</v>
      </c>
      <c r="O56" s="44">
        <f t="shared" si="18"/>
        <v>198.08242990400086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1.9925434522307865</v>
      </c>
      <c r="O57" s="44">
        <f t="shared" si="18"/>
        <v>98.297721736775998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1.6723482314582401</v>
      </c>
      <c r="O58" s="44">
        <f t="shared" si="18"/>
        <v>47.027103609960967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1.3576786694471659</v>
      </c>
      <c r="O59" s="44">
        <f t="shared" si="18"/>
        <v>22.786554915789679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1.0685305384731327</v>
      </c>
      <c r="O60" s="44">
        <f t="shared" si="18"/>
        <v>11.709289361424691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0.81878006363048017</v>
      </c>
      <c r="O61" s="18">
        <f t="shared" si="18"/>
        <v>6.5884015945898309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0.61433408455761029</v>
      </c>
      <c r="O62" s="18">
        <f t="shared" si="18"/>
        <v>4.1146612304868277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S13-1 CA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4.3807535648793623</v>
      </c>
      <c r="E85" s="57">
        <f>10^(LOG(C85)+D85)</f>
        <v>600749.71514918667</v>
      </c>
      <c r="F85" s="58">
        <f>10^($N$42+($P$23-$N$42)/(1+EXP($O$42+$P$42*(LOG10(C85)+$Q$42/19.147142*(1/(273.2+A85)-1/($M$23+273.2))))))</f>
        <v>2423.2773661774554</v>
      </c>
      <c r="G85" s="59">
        <f>F85*6.89476</f>
        <v>16707.915853225673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4.3807535648793623</v>
      </c>
      <c r="E86" s="57">
        <f t="shared" ref="E86:E115" si="20">10^(LOG(C86)+D86)</f>
        <v>240299.88605967443</v>
      </c>
      <c r="F86" s="58">
        <f t="shared" ref="F86:F115" si="21">10^($N$42+($P$23-$N$42)/(1+EXP($O$42+$P$42*(LOG10(C86)+$Q$42/19.147142*(1/(273.2+A86)-1/($M$23+273.2))))))</f>
        <v>2341.3621552075401</v>
      </c>
      <c r="G86" s="59">
        <f t="shared" ref="G86:G115" si="22">F86*6.89476</f>
        <v>16143.130133238739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4.3807535648793623</v>
      </c>
      <c r="E87" s="57">
        <f t="shared" si="20"/>
        <v>120149.9430298372</v>
      </c>
      <c r="F87" s="58">
        <f t="shared" si="21"/>
        <v>2273.5824183405416</v>
      </c>
      <c r="G87" s="59">
        <f t="shared" si="22"/>
        <v>15675.805114677632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4.3807535648793623</v>
      </c>
      <c r="E88" s="57">
        <f t="shared" si="20"/>
        <v>24029.988605967461</v>
      </c>
      <c r="F88" s="58">
        <f t="shared" si="21"/>
        <v>2096.2934679888644</v>
      </c>
      <c r="G88" s="59">
        <f t="shared" si="22"/>
        <v>14453.440351350902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4.3807535648793623</v>
      </c>
      <c r="E89" s="57">
        <f t="shared" si="20"/>
        <v>12014.994302983729</v>
      </c>
      <c r="F89" s="58">
        <f t="shared" si="21"/>
        <v>2011.3636875701868</v>
      </c>
      <c r="G89" s="59">
        <f t="shared" si="22"/>
        <v>13867.869898511421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4.3807535648793623</v>
      </c>
      <c r="E90" s="57">
        <f t="shared" si="20"/>
        <v>2402.9988605967455</v>
      </c>
      <c r="F90" s="58">
        <f t="shared" si="21"/>
        <v>1795.3794800310218</v>
      </c>
      <c r="G90" s="59">
        <f t="shared" si="22"/>
        <v>12378.710623738687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2.1533057429065896</v>
      </c>
      <c r="E91" s="57">
        <f t="shared" si="20"/>
        <v>3558.3261444919594</v>
      </c>
      <c r="F91" s="58">
        <f t="shared" si="21"/>
        <v>1850.6103987111653</v>
      </c>
      <c r="G91" s="59">
        <f t="shared" si="22"/>
        <v>12759.514552617793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2.1533057429065896</v>
      </c>
      <c r="E92" s="57">
        <f t="shared" si="20"/>
        <v>1423.3304577967824</v>
      </c>
      <c r="F92" s="58">
        <f t="shared" si="21"/>
        <v>1720.2471998012973</v>
      </c>
      <c r="G92" s="59">
        <f t="shared" si="22"/>
        <v>11860.691583301992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2.1533057429065896</v>
      </c>
      <c r="E93" s="57">
        <f t="shared" si="20"/>
        <v>711.66522889839121</v>
      </c>
      <c r="F93" s="58">
        <f t="shared" si="21"/>
        <v>1617.1815815828154</v>
      </c>
      <c r="G93" s="59">
        <f t="shared" si="22"/>
        <v>11150.078881433932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2.1533057429065896</v>
      </c>
      <c r="E94" s="57">
        <f t="shared" si="20"/>
        <v>142.33304577967823</v>
      </c>
      <c r="F94" s="58">
        <f t="shared" si="21"/>
        <v>1367.2924325646611</v>
      </c>
      <c r="G94" s="59">
        <f t="shared" si="22"/>
        <v>9427.1531723495227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2.1533057429065896</v>
      </c>
      <c r="E95" s="57">
        <f t="shared" si="20"/>
        <v>71.166522889839101</v>
      </c>
      <c r="F95" s="58">
        <f t="shared" si="21"/>
        <v>1257.2441725911456</v>
      </c>
      <c r="G95" s="59">
        <f t="shared" si="22"/>
        <v>8668.3968314145259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2.1533057429065896</v>
      </c>
      <c r="E96" s="57">
        <f t="shared" si="20"/>
        <v>14.233304577967818</v>
      </c>
      <c r="F96" s="58">
        <f t="shared" si="21"/>
        <v>1003.8060696969833</v>
      </c>
      <c r="G96" s="59">
        <f t="shared" si="22"/>
        <v>6921.0019371039725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-0.14509604100641016</v>
      </c>
      <c r="E97" s="57">
        <f t="shared" si="20"/>
        <v>17.899626447861312</v>
      </c>
      <c r="F97" s="58">
        <f t="shared" si="21"/>
        <v>1039.6279021248238</v>
      </c>
      <c r="G97" s="59">
        <f t="shared" si="22"/>
        <v>7167.9848744541496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-0.14509604100641016</v>
      </c>
      <c r="E98" s="57">
        <f t="shared" si="20"/>
        <v>7.1598505791445213</v>
      </c>
      <c r="F98" s="58">
        <f t="shared" si="21"/>
        <v>899.52074636799011</v>
      </c>
      <c r="G98" s="59">
        <f t="shared" si="22"/>
        <v>6201.9796612281634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-0.14509604100641016</v>
      </c>
      <c r="E99" s="57">
        <f t="shared" si="20"/>
        <v>3.5799252895722611</v>
      </c>
      <c r="F99" s="58">
        <f t="shared" si="21"/>
        <v>797.88805004743574</v>
      </c>
      <c r="G99" s="59">
        <f t="shared" si="22"/>
        <v>5501.2466119450582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-0.14509604100641016</v>
      </c>
      <c r="E100" s="57">
        <f t="shared" si="20"/>
        <v>0.71598505791445199</v>
      </c>
      <c r="F100" s="58">
        <f t="shared" si="21"/>
        <v>582.57596319987726</v>
      </c>
      <c r="G100" s="59">
        <f t="shared" si="22"/>
        <v>4016.7214480319858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-0.14509604100641016</v>
      </c>
      <c r="E101" s="57">
        <f t="shared" si="20"/>
        <v>0.35799252895722594</v>
      </c>
      <c r="F101" s="58">
        <f t="shared" si="21"/>
        <v>500.74561614564675</v>
      </c>
      <c r="G101" s="59">
        <f t="shared" si="22"/>
        <v>3452.5208443763595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-0.14509604100641016</v>
      </c>
      <c r="E102" s="57">
        <f t="shared" si="20"/>
        <v>7.159850579144518E-2</v>
      </c>
      <c r="F102" s="58">
        <f t="shared" si="21"/>
        <v>339.67827156496827</v>
      </c>
      <c r="G102" s="59">
        <f t="shared" si="22"/>
        <v>2342.0001596552806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-2.197095289434615</v>
      </c>
      <c r="E103" s="57">
        <f t="shared" si="20"/>
        <v>0.15879788697325622</v>
      </c>
      <c r="F103" s="58">
        <f t="shared" si="21"/>
        <v>414.37463381369707</v>
      </c>
      <c r="G103" s="59">
        <f t="shared" si="22"/>
        <v>2857.0136502333257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-2.197095289434615</v>
      </c>
      <c r="E104" s="57">
        <f t="shared" si="20"/>
        <v>6.3519154789302479E-2</v>
      </c>
      <c r="F104" s="58">
        <f t="shared" si="21"/>
        <v>329.48881140057767</v>
      </c>
      <c r="G104" s="59">
        <f t="shared" si="22"/>
        <v>2271.7462772922468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-2.197095289434615</v>
      </c>
      <c r="E105" s="57">
        <f t="shared" si="20"/>
        <v>3.1759577394651232E-2</v>
      </c>
      <c r="F105" s="58">
        <f t="shared" si="21"/>
        <v>274.17490621317631</v>
      </c>
      <c r="G105" s="59">
        <f t="shared" si="22"/>
        <v>1890.3701763623594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-2.197095289434615</v>
      </c>
      <c r="E106" s="57">
        <f t="shared" si="20"/>
        <v>6.3519154789302493E-3</v>
      </c>
      <c r="F106" s="58">
        <f t="shared" si="21"/>
        <v>173.48602453615061</v>
      </c>
      <c r="G106" s="59">
        <f t="shared" si="22"/>
        <v>1196.1445025308697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-2.197095289434615</v>
      </c>
      <c r="E107" s="57">
        <f t="shared" si="20"/>
        <v>3.1759577394651216E-3</v>
      </c>
      <c r="F107" s="58">
        <f t="shared" si="21"/>
        <v>140.83577355590569</v>
      </c>
      <c r="G107" s="59">
        <f t="shared" si="22"/>
        <v>971.02885808231633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-2.197095289434615</v>
      </c>
      <c r="E108" s="57">
        <f t="shared" si="20"/>
        <v>6.3519154789302469E-4</v>
      </c>
      <c r="F108" s="58">
        <f t="shared" si="21"/>
        <v>85.16736908890384</v>
      </c>
      <c r="G108" s="59">
        <f t="shared" si="22"/>
        <v>587.20856969941065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-4.0402998647309154</v>
      </c>
      <c r="E109" s="57">
        <f t="shared" si="20"/>
        <v>2.2784533649897547E-3</v>
      </c>
      <c r="F109" s="58">
        <f t="shared" si="21"/>
        <v>127.24529143786229</v>
      </c>
      <c r="G109" s="59">
        <f t="shared" si="22"/>
        <v>877.32574559411535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-4.0402998647309154</v>
      </c>
      <c r="E110" s="57">
        <f t="shared" si="20"/>
        <v>9.1138134599590202E-4</v>
      </c>
      <c r="F110" s="58">
        <f t="shared" si="21"/>
        <v>95.548278426650256</v>
      </c>
      <c r="G110" s="59">
        <f t="shared" si="22"/>
        <v>658.78244816493111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-4.0402998647309154</v>
      </c>
      <c r="E111" s="57">
        <f t="shared" si="20"/>
        <v>4.556906729979509E-4</v>
      </c>
      <c r="F111" s="58">
        <f t="shared" si="21"/>
        <v>76.632532365727712</v>
      </c>
      <c r="G111" s="59">
        <f t="shared" si="22"/>
        <v>528.36291885392484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-4.0402998647309154</v>
      </c>
      <c r="E112" s="57">
        <f t="shared" si="20"/>
        <v>9.1138134599590175E-5</v>
      </c>
      <c r="F112" s="58">
        <f t="shared" si="21"/>
        <v>45.691227423387247</v>
      </c>
      <c r="G112" s="59">
        <f t="shared" si="22"/>
        <v>315.03004718967344</v>
      </c>
    </row>
    <row r="113" spans="1:8" x14ac:dyDescent="0.25">
      <c r="A113" s="23">
        <v>54.444444444444443</v>
      </c>
      <c r="B113" s="8">
        <v>130</v>
      </c>
      <c r="C113" s="8">
        <v>0.5</v>
      </c>
      <c r="D113" s="56">
        <f t="shared" si="19"/>
        <v>-4.0402998647309154</v>
      </c>
      <c r="E113" s="57">
        <f t="shared" si="20"/>
        <v>4.5569067299795081E-5</v>
      </c>
      <c r="F113" s="58">
        <f t="shared" si="21"/>
        <v>36.613938787655584</v>
      </c>
      <c r="G113" s="59">
        <f t="shared" si="22"/>
        <v>252.44432059557622</v>
      </c>
    </row>
    <row r="114" spans="1:8" x14ac:dyDescent="0.25">
      <c r="A114" s="23">
        <v>54.444444444444443</v>
      </c>
      <c r="B114" s="8">
        <v>130</v>
      </c>
      <c r="C114" s="8">
        <v>0.1</v>
      </c>
      <c r="D114" s="56">
        <f t="shared" si="19"/>
        <v>-4.0402998647309154</v>
      </c>
      <c r="E114" s="57">
        <f t="shared" si="20"/>
        <v>9.1138134599590222E-6</v>
      </c>
      <c r="F114" s="58">
        <f t="shared" si="21"/>
        <v>22.172332343653363</v>
      </c>
      <c r="G114" s="59">
        <f t="shared" si="22"/>
        <v>152.87291014972746</v>
      </c>
    </row>
    <row r="115" spans="1:8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846.30439329014371</v>
      </c>
      <c r="G115" s="67">
        <f t="shared" si="22"/>
        <v>5835.0656786811514</v>
      </c>
      <c r="H115" s="68" t="s">
        <v>103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4E27-404D-4189-8FD7-6C69219BB4C4}">
  <dimension ref="A1:CJ115"/>
  <sheetViews>
    <sheetView view="pageBreakPreview" topLeftCell="A16" zoomScale="80" zoomScaleNormal="70" zoomScaleSheetLayoutView="80" workbookViewId="0">
      <selection activeCell="A44" sqref="A44:A46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9.42578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141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2.7250000000000001</v>
      </c>
      <c r="F14" s="8" t="s">
        <v>14</v>
      </c>
      <c r="G14" s="60" t="s">
        <v>142</v>
      </c>
      <c r="H14" s="16">
        <v>6.9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4.6399999999999997</v>
      </c>
      <c r="F15" s="8" t="s">
        <v>24</v>
      </c>
      <c r="G15" s="60" t="s">
        <v>143</v>
      </c>
      <c r="H15" s="16">
        <v>6.9</v>
      </c>
      <c r="M15" s="4" t="str">
        <f t="shared" ref="M15:N17" si="0">G14</f>
        <v>115D</v>
      </c>
      <c r="N15" s="18">
        <f t="shared" si="0"/>
        <v>6.9</v>
      </c>
      <c r="O15" s="4">
        <f>$B$14</f>
        <v>2.7250000000000001</v>
      </c>
      <c r="P15" s="20">
        <f>$B$15</f>
        <v>4.6399999999999997</v>
      </c>
      <c r="Q15" s="21">
        <f>$B$16</f>
        <v>2.552</v>
      </c>
      <c r="R15" s="21">
        <f t="shared" ref="R15:R17" si="1">((Q15*(N15-100))/-100)</f>
        <v>2.375912</v>
      </c>
      <c r="S15" s="18">
        <f t="shared" ref="S15:S17" si="2">100-((R15*(100-P15))/O15)</f>
        <v>16.856158414678902</v>
      </c>
      <c r="T15" s="18">
        <f t="shared" ref="T15:T17" si="3">100*((S15-N15)/S15)</f>
        <v>59.065406065528833</v>
      </c>
      <c r="U15" s="18"/>
      <c r="W15" s="18"/>
    </row>
    <row r="16" spans="1:23" x14ac:dyDescent="0.25">
      <c r="A16" s="8" t="s">
        <v>25</v>
      </c>
      <c r="B16" s="22">
        <v>2.552</v>
      </c>
      <c r="F16" s="8" t="s">
        <v>26</v>
      </c>
      <c r="G16" s="60" t="s">
        <v>144</v>
      </c>
      <c r="H16" s="16">
        <v>7.4</v>
      </c>
      <c r="M16" s="4" t="str">
        <f t="shared" si="0"/>
        <v>117A</v>
      </c>
      <c r="N16" s="18">
        <f t="shared" si="0"/>
        <v>6.9</v>
      </c>
      <c r="O16" s="4">
        <f t="shared" ref="O16:O17" si="4">$B$14</f>
        <v>2.7250000000000001</v>
      </c>
      <c r="P16" s="20">
        <f t="shared" ref="P16:P17" si="5">$B$15</f>
        <v>4.6399999999999997</v>
      </c>
      <c r="Q16" s="21">
        <f t="shared" ref="Q16:Q17" si="6">$B$16</f>
        <v>2.552</v>
      </c>
      <c r="R16" s="21">
        <f t="shared" si="1"/>
        <v>2.375912</v>
      </c>
      <c r="S16" s="18">
        <f t="shared" si="2"/>
        <v>16.856158414678902</v>
      </c>
      <c r="T16" s="18">
        <f t="shared" si="3"/>
        <v>59.065406065528833</v>
      </c>
      <c r="U16" s="18"/>
    </row>
    <row r="17" spans="1:88" x14ac:dyDescent="0.25">
      <c r="A17" s="8" t="s">
        <v>21</v>
      </c>
      <c r="B17" s="23">
        <f>AVERAGE(S15:S17)</f>
        <v>17.005001668501535</v>
      </c>
      <c r="M17" s="4" t="str">
        <f t="shared" si="0"/>
        <v>117B</v>
      </c>
      <c r="N17" s="18">
        <f t="shared" si="0"/>
        <v>7.4</v>
      </c>
      <c r="O17" s="4">
        <f t="shared" si="4"/>
        <v>2.7250000000000001</v>
      </c>
      <c r="P17" s="20">
        <f t="shared" si="5"/>
        <v>4.6399999999999997</v>
      </c>
      <c r="Q17" s="21">
        <f t="shared" si="6"/>
        <v>2.552</v>
      </c>
      <c r="R17" s="21">
        <f t="shared" si="1"/>
        <v>2.3631519999999999</v>
      </c>
      <c r="S17" s="18">
        <f t="shared" si="2"/>
        <v>17.302688176146802</v>
      </c>
      <c r="T17" s="18">
        <f t="shared" si="3"/>
        <v>57.232079058088118</v>
      </c>
    </row>
    <row r="18" spans="1:88" x14ac:dyDescent="0.25">
      <c r="A18" s="8" t="s">
        <v>22</v>
      </c>
      <c r="B18" s="23">
        <f>AVERAGE(T15:T17)</f>
        <v>58.454297063048593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916.78354196120995</v>
      </c>
      <c r="D23" s="16">
        <v>15.81</v>
      </c>
      <c r="E23" s="16">
        <v>912.57744755891997</v>
      </c>
      <c r="F23" s="16">
        <v>15.64</v>
      </c>
      <c r="G23" s="16">
        <v>969.57727859684996</v>
      </c>
      <c r="H23" s="16">
        <v>14.55</v>
      </c>
      <c r="M23" s="4">
        <v>20</v>
      </c>
      <c r="N23" s="29">
        <f>(20+(B18*3*145000)/(B17))^0.58/(650+((B18*3*145000)/B17)^0.58)</f>
        <v>0.85438646419277697</v>
      </c>
      <c r="O23" s="18">
        <f>(N23*(4200000*(1-B17/100)+3*145000*(B17*B18)/10000)+(1-N23)/((1-B17/100)/4200000+B17/(3*B18*145000)))/1000</f>
        <v>3183.2286222758721</v>
      </c>
      <c r="P23" s="29">
        <f>LOG10(O23)</f>
        <v>3.5028678311523382</v>
      </c>
      <c r="R23" s="30">
        <f>(1/6*T37)^0.5</f>
        <v>1.9634952456331119E-2</v>
      </c>
      <c r="S23" s="30">
        <f>1-R23^2/Q37^2*12/6</f>
        <v>0.99677065176812374</v>
      </c>
      <c r="T23" s="30">
        <f>(1-8*R23^2/9*Q37^2)</f>
        <v>0.99991817575433528</v>
      </c>
    </row>
    <row r="24" spans="1:88" x14ac:dyDescent="0.25">
      <c r="A24" s="8">
        <v>4</v>
      </c>
      <c r="B24" s="23">
        <v>1</v>
      </c>
      <c r="C24" s="16">
        <v>1289.6755663849201</v>
      </c>
      <c r="D24" s="16">
        <v>13.1</v>
      </c>
      <c r="E24" s="16">
        <v>1266.7596037793401</v>
      </c>
      <c r="F24" s="16">
        <v>13.01</v>
      </c>
      <c r="G24" s="16">
        <v>1324.04951029329</v>
      </c>
      <c r="H24" s="16">
        <v>12.3</v>
      </c>
    </row>
    <row r="25" spans="1:88" x14ac:dyDescent="0.25">
      <c r="A25" s="8">
        <v>4</v>
      </c>
      <c r="B25" s="23">
        <v>10</v>
      </c>
      <c r="C25" s="16">
        <v>1723.9185539868599</v>
      </c>
      <c r="D25" s="16">
        <v>11</v>
      </c>
      <c r="E25" s="16">
        <v>1685.19347793819</v>
      </c>
      <c r="F25" s="16">
        <v>10.94</v>
      </c>
      <c r="G25" s="16">
        <v>1739.2925542159201</v>
      </c>
      <c r="H25" s="16">
        <v>10.49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307.48000458119998</v>
      </c>
      <c r="D26" s="16">
        <v>22.88</v>
      </c>
      <c r="E26" s="16">
        <v>268.46485305650998</v>
      </c>
      <c r="F26" s="16">
        <v>24.47</v>
      </c>
      <c r="G26" s="16">
        <v>265.99921151033999</v>
      </c>
      <c r="H26" s="16">
        <v>24.38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508.50230946305999</v>
      </c>
      <c r="D27" s="16">
        <v>21.32</v>
      </c>
      <c r="E27" s="16">
        <v>456.8688747315</v>
      </c>
      <c r="F27" s="16">
        <v>22.43</v>
      </c>
      <c r="G27" s="16">
        <v>453.53300675727002</v>
      </c>
      <c r="H27" s="16">
        <v>22.12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805.53959690754004</v>
      </c>
      <c r="D28" s="16">
        <v>18.989999999999998</v>
      </c>
      <c r="E28" s="16">
        <v>740.99780349309003</v>
      </c>
      <c r="F28" s="16">
        <v>19.600000000000001</v>
      </c>
      <c r="G28" s="16">
        <v>732.87569016453006</v>
      </c>
      <c r="H28" s="16">
        <v>19.38</v>
      </c>
      <c r="I28" s="3"/>
      <c r="J28" s="3"/>
      <c r="K28" s="3"/>
      <c r="L28" s="3"/>
      <c r="M28" s="32">
        <f t="shared" ref="M28:N36" si="7">A23</f>
        <v>4</v>
      </c>
      <c r="N28" s="32">
        <f t="shared" si="7"/>
        <v>0.1</v>
      </c>
      <c r="O28" s="33">
        <f>C40</f>
        <v>932.97942270566</v>
      </c>
      <c r="P28" s="33">
        <f>E40</f>
        <v>15.333333333333334</v>
      </c>
      <c r="Q28" s="34">
        <f>LOG10(O28)</f>
        <v>2.9698720652856916</v>
      </c>
      <c r="R28" s="34">
        <f t="shared" ref="R28:R33" si="8">$N$42+($P$23-$N$42)/(1+EXP($O$42+$P$42*(LOG10(N28)+$Q$42/19.147142*(1/(273.2+M28)-1/($M$23+273.2)))))</f>
        <v>2.9479624785427068</v>
      </c>
      <c r="S28" s="34">
        <f>Q28-R28</f>
        <v>2.1909586742984821E-2</v>
      </c>
      <c r="T28" s="35">
        <f>S28^2</f>
        <v>4.8002999124837622E-4</v>
      </c>
      <c r="U28" s="34">
        <f>$Q$42/19.147143*(1/(M28+273.15)-1/($M$23+273.15))</f>
        <v>2.224348009806647</v>
      </c>
      <c r="V28" s="34">
        <f>LOG10(N28)+U28</f>
        <v>1.224348009806647</v>
      </c>
      <c r="W28" s="34">
        <f>10^V28</f>
        <v>16.76285582823537</v>
      </c>
    </row>
    <row r="29" spans="1:88" s="4" customFormat="1" x14ac:dyDescent="0.25">
      <c r="A29" s="15">
        <v>40</v>
      </c>
      <c r="B29" s="23">
        <v>0.1</v>
      </c>
      <c r="C29" s="16">
        <v>61.046383928409</v>
      </c>
      <c r="D29" s="16">
        <v>24.36</v>
      </c>
      <c r="E29" s="16">
        <v>61.046383928409</v>
      </c>
      <c r="F29" s="16">
        <v>24.98</v>
      </c>
      <c r="G29" s="16">
        <v>65.165455687893001</v>
      </c>
      <c r="H29" s="16">
        <v>24.37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1293.4948934858501</v>
      </c>
      <c r="P29" s="33">
        <f>E39</f>
        <v>12.803333333333333</v>
      </c>
      <c r="Q29" s="34">
        <f t="shared" ref="Q29:Q33" si="9">LOG10(O29)</f>
        <v>3.1117647185297215</v>
      </c>
      <c r="R29" s="34">
        <f t="shared" si="8"/>
        <v>3.1068595595716566</v>
      </c>
      <c r="S29" s="34">
        <f t="shared" ref="S29:S33" si="10">Q29-R29</f>
        <v>4.9051589580648702E-3</v>
      </c>
      <c r="T29" s="35">
        <f t="shared" ref="T29:T33" si="11">S29^2</f>
        <v>2.4060584403884043E-5</v>
      </c>
      <c r="U29" s="34">
        <f t="shared" ref="U29:U33" si="12">$Q$42/19.147143*(1/(M29+273.15)-1/($M$23+273.15))</f>
        <v>2.224348009806647</v>
      </c>
      <c r="V29" s="34">
        <f t="shared" ref="V29:V33" si="13">LOG10(N29)+U29</f>
        <v>2.224348009806647</v>
      </c>
      <c r="W29" s="34">
        <f t="shared" ref="W29:W33" si="14">10^V29</f>
        <v>167.62855828235368</v>
      </c>
    </row>
    <row r="30" spans="1:88" s="4" customFormat="1" x14ac:dyDescent="0.25">
      <c r="A30" s="15">
        <v>40</v>
      </c>
      <c r="B30" s="23">
        <v>1</v>
      </c>
      <c r="C30" s="16">
        <v>111.17142618466499</v>
      </c>
      <c r="D30" s="16">
        <v>27.11</v>
      </c>
      <c r="E30" s="16">
        <v>113.65157150463601</v>
      </c>
      <c r="F30" s="16">
        <v>26.91</v>
      </c>
      <c r="G30" s="16">
        <v>117.52407910950299</v>
      </c>
      <c r="H30" s="16">
        <v>26.44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1716.1348620469901</v>
      </c>
      <c r="P30" s="33">
        <f>E38</f>
        <v>10.81</v>
      </c>
      <c r="Q30" s="34">
        <f t="shared" si="9"/>
        <v>3.2345514137815776</v>
      </c>
      <c r="R30" s="34">
        <f t="shared" si="8"/>
        <v>3.2263070668454801</v>
      </c>
      <c r="S30" s="34">
        <f t="shared" si="10"/>
        <v>8.2443469360975463E-3</v>
      </c>
      <c r="T30" s="35">
        <f t="shared" si="11"/>
        <v>6.7969256402740998E-5</v>
      </c>
      <c r="U30" s="34">
        <f t="shared" si="12"/>
        <v>2.224348009806647</v>
      </c>
      <c r="V30" s="34">
        <f t="shared" si="13"/>
        <v>3.224348009806647</v>
      </c>
      <c r="W30" s="34">
        <f t="shared" si="14"/>
        <v>1676.2855828235372</v>
      </c>
    </row>
    <row r="31" spans="1:88" s="4" customFormat="1" x14ac:dyDescent="0.25">
      <c r="A31" s="15">
        <v>40</v>
      </c>
      <c r="B31" s="23">
        <v>10</v>
      </c>
      <c r="C31" s="16">
        <v>223.93826748743999</v>
      </c>
      <c r="D31" s="16">
        <v>27.35</v>
      </c>
      <c r="E31" s="16">
        <v>223.64819201142001</v>
      </c>
      <c r="F31" s="16">
        <v>27.27</v>
      </c>
      <c r="G31" s="16">
        <v>228.43443736575</v>
      </c>
      <c r="H31" s="16">
        <v>26.6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280.64802304935</v>
      </c>
      <c r="P31" s="33">
        <f>E43</f>
        <v>23.909999999999997</v>
      </c>
      <c r="Q31" s="34">
        <f t="shared" si="9"/>
        <v>2.4481619872940406</v>
      </c>
      <c r="R31" s="34">
        <f t="shared" si="8"/>
        <v>2.4501979635593854</v>
      </c>
      <c r="S31" s="34">
        <f t="shared" si="10"/>
        <v>-2.0359762653447966E-3</v>
      </c>
      <c r="T31" s="35">
        <f t="shared" si="11"/>
        <v>4.145199353047346E-6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472.96806365061002</v>
      </c>
      <c r="P32" s="33">
        <f>E42</f>
        <v>21.956666666666667</v>
      </c>
      <c r="Q32" s="34">
        <f t="shared" si="9"/>
        <v>2.6748318167450673</v>
      </c>
      <c r="R32" s="34">
        <f t="shared" si="8"/>
        <v>2.6963551931037317</v>
      </c>
      <c r="S32" s="34">
        <f t="shared" si="10"/>
        <v>-2.1523376358664414E-2</v>
      </c>
      <c r="T32" s="35">
        <f t="shared" si="11"/>
        <v>4.6325572987671422E-4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759.80436352172001</v>
      </c>
      <c r="P33" s="33">
        <f>E41</f>
        <v>19.323333333333334</v>
      </c>
      <c r="Q33" s="34">
        <f t="shared" si="9"/>
        <v>2.8807017833592163</v>
      </c>
      <c r="R33" s="34">
        <f t="shared" si="8"/>
        <v>2.9066451084983256</v>
      </c>
      <c r="S33" s="34">
        <f t="shared" si="10"/>
        <v>-2.5943325139109241E-2</v>
      </c>
      <c r="T33" s="35">
        <f t="shared" si="11"/>
        <v>6.7305611927353755E-4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0.1</v>
      </c>
      <c r="O34" s="33">
        <f>C46</f>
        <v>62.419407848237</v>
      </c>
      <c r="P34" s="33">
        <f>E46</f>
        <v>24.570000000000004</v>
      </c>
      <c r="Q34" s="34">
        <f>LOG10(O34)</f>
        <v>1.795319644344326</v>
      </c>
      <c r="R34" s="34">
        <f>$N$42+($P$23-$N$42)/(1+EXP($O$42+$P$42*(LOG10(N34)+$Q$42/19.147142*(1/(273.2+M34)-1/($M$23+273.2)))))</f>
        <v>1.7995814355828887</v>
      </c>
      <c r="S34" s="34">
        <f>Q34-R34</f>
        <v>-4.2617912385627399E-3</v>
      </c>
      <c r="T34" s="35">
        <f>S34^2</f>
        <v>1.8162864561090132E-5</v>
      </c>
      <c r="U34" s="34">
        <f>$Q$42/19.147143*(1/(M34+273.15)-1/($M$23+273.15))</f>
        <v>-2.4607937526661079</v>
      </c>
      <c r="V34" s="34">
        <f>LOG10(N34)+U34</f>
        <v>-3.4607937526661079</v>
      </c>
      <c r="W34" s="34">
        <f>10^V34</f>
        <v>3.4610370415751968E-4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1</v>
      </c>
      <c r="O35" s="33">
        <f>C45</f>
        <v>114.115692266268</v>
      </c>
      <c r="P35" s="33">
        <f>E45</f>
        <v>26.819999999999997</v>
      </c>
      <c r="Q35" s="34">
        <f>LOG10(O35)</f>
        <v>2.0573453691864092</v>
      </c>
      <c r="R35" s="34">
        <f>$N$42+($P$23-$N$42)/(1+EXP($O$42+$P$42*(LOG10(N35)+$Q$42/19.147142*(1/(273.2+M35)-1/($M$23+273.2)))))</f>
        <v>2.0590214632067392</v>
      </c>
      <c r="S35" s="34">
        <f>Q35-R35</f>
        <v>-1.6760940203299768E-3</v>
      </c>
      <c r="T35" s="35">
        <f>S35^2</f>
        <v>2.8092911649859045E-6</v>
      </c>
      <c r="U35" s="34">
        <f>$Q$42/19.147143*(1/(M35+273.15)-1/($M$23+273.15))</f>
        <v>-2.4607937526661079</v>
      </c>
      <c r="V35" s="34">
        <f>LOG10(N35)+U35</f>
        <v>-2.4607937526661079</v>
      </c>
      <c r="W35" s="34">
        <f>10^V35</f>
        <v>3.4610370415751974E-3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10</v>
      </c>
      <c r="O36" s="33">
        <f>C44</f>
        <v>225.34029895487001</v>
      </c>
      <c r="P36" s="33">
        <f>E44</f>
        <v>27.073333333333334</v>
      </c>
      <c r="Q36" s="34">
        <f>LOG10(O36)</f>
        <v>2.3528388661520334</v>
      </c>
      <c r="R36" s="34">
        <f>$N$42+($P$23-$N$42)/(1+EXP($O$42+$P$42*(LOG10(N36)+$Q$42/19.147142*(1/(273.2+M36)-1/($M$23+273.2)))))</f>
        <v>2.3287619246625102</v>
      </c>
      <c r="S36" s="34">
        <f>Q36-R36</f>
        <v>2.4076941489523218E-2</v>
      </c>
      <c r="T36" s="35">
        <f>S36^2</f>
        <v>5.7969911148992453E-4</v>
      </c>
      <c r="U36" s="34">
        <f>$Q$42/19.147143*(1/(M36+273.15)-1/($M$23+273.15))</f>
        <v>-2.4607937526661079</v>
      </c>
      <c r="V36" s="34">
        <f>LOG10(N36)+U36</f>
        <v>-1.4607937526661079</v>
      </c>
      <c r="W36" s="34">
        <f>10^V36</f>
        <v>3.4610370415751983E-2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P37" s="32" t="s">
        <v>68</v>
      </c>
      <c r="Q37" s="35">
        <f>STDEV(Q28:Q36)</f>
        <v>0.4886381963628092</v>
      </c>
      <c r="S37" s="32" t="s">
        <v>69</v>
      </c>
      <c r="T37" s="35">
        <f>SUM(T28:T36)</f>
        <v>2.3131881477743009E-3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1716.1348620469901</v>
      </c>
      <c r="D38" s="23">
        <f>(STDEV(C25,E25,G25)/C38)*100</f>
        <v>1.6243954542884027</v>
      </c>
      <c r="E38" s="23">
        <f>AVERAGE(D25,F25,H25)</f>
        <v>10.81</v>
      </c>
      <c r="F38" s="23">
        <f>STDEV(D25,F25,H25)</f>
        <v>0.27874719729532682</v>
      </c>
      <c r="G38" s="3"/>
      <c r="H38" s="3"/>
      <c r="I38" s="26" t="s">
        <v>32</v>
      </c>
      <c r="J38" s="8">
        <v>20</v>
      </c>
      <c r="K38" s="3"/>
      <c r="L38" s="3"/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1293.4948934858501</v>
      </c>
      <c r="D39" s="23">
        <f>(STDEV(C24,E24,G24)/C39)*100</f>
        <v>2.22925404741689</v>
      </c>
      <c r="E39" s="23">
        <f>AVERAGE(D24,F24,H24)</f>
        <v>12.803333333333333</v>
      </c>
      <c r="F39" s="23">
        <f>STDEV(D24,F24,H24)</f>
        <v>0.43821608064211065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932.97942270566</v>
      </c>
      <c r="D40" s="23">
        <f>(STDEV(C23,E23,G23)/C40)*100</f>
        <v>3.4046161812288709</v>
      </c>
      <c r="E40" s="23">
        <f>AVERAGE(D23,F23,H23)</f>
        <v>15.333333333333334</v>
      </c>
      <c r="F40" s="23">
        <f>STDEV(D23,F23,H23)</f>
        <v>0.68369096332578005</v>
      </c>
      <c r="G40" s="3"/>
      <c r="H40" s="3"/>
      <c r="I40" s="12" t="s">
        <v>94</v>
      </c>
      <c r="J40" s="59">
        <f>G115</f>
        <v>4854.7907849950398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759.80436352172001</v>
      </c>
      <c r="D41" s="23">
        <f>(STDEV(C28,E28,G28)/C41)*100</f>
        <v>5.2402335094101735</v>
      </c>
      <c r="E41" s="23">
        <f>AVERAGE(D28,F28,H28)</f>
        <v>19.323333333333334</v>
      </c>
      <c r="F41" s="23">
        <f>STDEV(D28,F28,H28)</f>
        <v>0.30892285984260565</v>
      </c>
      <c r="G41" s="3"/>
      <c r="H41" s="3"/>
      <c r="I41" s="69" t="s">
        <v>35</v>
      </c>
      <c r="J41" s="62">
        <f>AVERAGE(E41:E42)</f>
        <v>20.64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472.96806365061002</v>
      </c>
      <c r="D42" s="23">
        <f>(STDEV(C27,E27,G27)/C42)*100</f>
        <v>6.5160271910381828</v>
      </c>
      <c r="E42" s="23">
        <f>AVERAGE(D27,F27,H27)</f>
        <v>21.956666666666667</v>
      </c>
      <c r="F42" s="23">
        <f>STDEV(D27,F27,H27)</f>
        <v>0.5727419430540539</v>
      </c>
      <c r="G42" s="3"/>
      <c r="H42" s="3"/>
      <c r="I42" s="32" t="s">
        <v>105</v>
      </c>
      <c r="J42" s="70">
        <f>(COS(RADIANS(J41)))^2</f>
        <v>0.87574723588634806</v>
      </c>
      <c r="K42" s="3"/>
      <c r="L42" s="3"/>
      <c r="M42" s="38" t="s">
        <v>78</v>
      </c>
      <c r="N42" s="39">
        <f>N43</f>
        <v>0.86823690883446536</v>
      </c>
      <c r="O42" s="39">
        <f>O43*-1</f>
        <v>-0.81832288916881857</v>
      </c>
      <c r="P42" s="39">
        <f>P43*-1</f>
        <v>-0.41098730581228232</v>
      </c>
      <c r="Q42" s="40">
        <f>Q43*200000</f>
        <v>216267.62715090954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280.64802304935</v>
      </c>
      <c r="D43" s="23">
        <f>(STDEV(C26,E26,G26)/C43)*100</f>
        <v>8.2914738989741377</v>
      </c>
      <c r="E43" s="23">
        <f>AVERAGE(D26,F26,H26)</f>
        <v>23.909999999999997</v>
      </c>
      <c r="F43" s="23">
        <f>STDEV(D26,F26,H26)</f>
        <v>0.89314052645706321</v>
      </c>
      <c r="G43" s="3"/>
      <c r="H43" s="3"/>
      <c r="I43" s="32" t="s">
        <v>106</v>
      </c>
      <c r="J43" s="70">
        <f>SIN(RADIANS(J41))</f>
        <v>0.3524950554456785</v>
      </c>
      <c r="K43" s="3"/>
      <c r="L43" s="3"/>
      <c r="M43" s="38" t="s">
        <v>80</v>
      </c>
      <c r="N43" s="39">
        <v>0.86823690883446536</v>
      </c>
      <c r="O43" s="39">
        <v>0.81832288916881857</v>
      </c>
      <c r="P43" s="39">
        <v>0.41098730581228232</v>
      </c>
      <c r="Q43" s="41">
        <v>1.0813381357545477</v>
      </c>
      <c r="R43" s="4" t="s">
        <v>81</v>
      </c>
    </row>
    <row r="44" spans="1:23" s="4" customFormat="1" ht="18" x14ac:dyDescent="0.35">
      <c r="A44" s="72">
        <f>A29</f>
        <v>40</v>
      </c>
      <c r="B44" s="23">
        <f>B31</f>
        <v>10</v>
      </c>
      <c r="C44" s="23">
        <f>AVERAGE(C31,E31,G31)</f>
        <v>225.34029895487001</v>
      </c>
      <c r="D44" s="23">
        <f>(STDEV(C31,E31,G31)/C44)*100</f>
        <v>1.1908765575093689</v>
      </c>
      <c r="E44" s="23">
        <f>AVERAGE(D31,F31,H31)</f>
        <v>27.073333333333334</v>
      </c>
      <c r="F44" s="23">
        <f>STDEV(D31,F31,H31)</f>
        <v>0.4118656738954255</v>
      </c>
      <c r="G44" s="3"/>
      <c r="H44" s="3"/>
      <c r="I44" s="12" t="s">
        <v>107</v>
      </c>
      <c r="J44" s="59">
        <f>(J40*J42)/J43</f>
        <v>12061.359571102157</v>
      </c>
      <c r="K44" s="3"/>
      <c r="L44" s="3"/>
    </row>
    <row r="45" spans="1:23" s="4" customFormat="1" x14ac:dyDescent="0.25">
      <c r="A45" s="72">
        <f>A30</f>
        <v>40</v>
      </c>
      <c r="B45" s="23">
        <f>B30</f>
        <v>1</v>
      </c>
      <c r="C45" s="23">
        <f>AVERAGE(C30,E30,G30)</f>
        <v>114.115692266268</v>
      </c>
      <c r="D45" s="23">
        <f>(STDEV(C30,E30,G30)/C45)*100</f>
        <v>2.8056235498256541</v>
      </c>
      <c r="E45" s="23">
        <f>AVERAGE(D30,F30,H30)</f>
        <v>26.819999999999997</v>
      </c>
      <c r="F45" s="23">
        <f>STDEV(D30,F30,H30)</f>
        <v>0.34394767043839586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72">
        <f>A31</f>
        <v>40</v>
      </c>
      <c r="B46" s="23">
        <f>B29</f>
        <v>0.1</v>
      </c>
      <c r="C46" s="23">
        <f>AVERAGE(C29,E29,G29)</f>
        <v>62.419407848237</v>
      </c>
      <c r="D46" s="23">
        <f>(STDEV(C29,E29,G29)/C46)*100</f>
        <v>3.8099483335881126</v>
      </c>
      <c r="E46" s="23">
        <f>AVERAGE(D29,F29,H29)</f>
        <v>24.570000000000004</v>
      </c>
      <c r="F46" s="23">
        <f>STDEV(D29,F29,H29)</f>
        <v>0.35510561809129421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3.4601788295045735</v>
      </c>
      <c r="O46" s="44">
        <f t="shared" ref="O46" si="17">10^N46</f>
        <v>2885.2193057493969</v>
      </c>
    </row>
    <row r="47" spans="1:23" s="4" customFormat="1" x14ac:dyDescent="0.25">
      <c r="A47" s="3"/>
      <c r="B47" s="45"/>
      <c r="C47" s="24"/>
      <c r="D47" s="24"/>
      <c r="E47" s="24"/>
      <c r="F47" s="24"/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3.4390057196385926</v>
      </c>
      <c r="O47" s="44">
        <f>10^N47</f>
        <v>2747.9303429818428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3.4077165783312964</v>
      </c>
      <c r="O48" s="44">
        <f>10^N48</f>
        <v>2556.9166920549815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3.3619377686267673</v>
      </c>
      <c r="O49" s="44">
        <f t="shared" ref="O49:O62" si="18">10^N49</f>
        <v>2301.112060458282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3.2959288154222359</v>
      </c>
      <c r="O50" s="44">
        <f t="shared" si="18"/>
        <v>1976.6456244446754</v>
      </c>
    </row>
    <row r="51" spans="1:15" s="4" customFormat="1" x14ac:dyDescent="0.25">
      <c r="A51" s="24">
        <f>O23</f>
        <v>3183.2286222758721</v>
      </c>
      <c r="B51" s="45">
        <f>10^N42</f>
        <v>7.3830686872659106</v>
      </c>
      <c r="C51" s="46">
        <f>O42</f>
        <v>-0.81832288916881857</v>
      </c>
      <c r="D51" s="46">
        <f>P42</f>
        <v>-0.41098730581228232</v>
      </c>
      <c r="E51" s="47">
        <f>Q42</f>
        <v>216267.62715090954</v>
      </c>
      <c r="F51" s="48">
        <f>S23</f>
        <v>0.99677065176812374</v>
      </c>
      <c r="G51" s="45">
        <f>R23/Q37</f>
        <v>4.0183007801036404E-2</v>
      </c>
      <c r="H51" s="3"/>
      <c r="I51" s="3"/>
      <c r="J51" s="3"/>
      <c r="K51" s="3"/>
      <c r="L51" s="3"/>
      <c r="M51" s="43">
        <v>1000</v>
      </c>
      <c r="N51" s="21">
        <f t="shared" si="16"/>
        <v>3.2027237656282659</v>
      </c>
      <c r="O51" s="44">
        <f t="shared" si="18"/>
        <v>1594.8644060325353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3.0749389952193651</v>
      </c>
      <c r="O52" s="44">
        <f t="shared" si="18"/>
        <v>1188.3352918008673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2.9066451084983256</v>
      </c>
      <c r="O53" s="44">
        <f t="shared" si="18"/>
        <v>806.57565315697252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2.6963551931037317</v>
      </c>
      <c r="O54" s="44">
        <f t="shared" si="18"/>
        <v>496.99863174155291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2.4501979635593854</v>
      </c>
      <c r="O55" s="44">
        <f t="shared" si="18"/>
        <v>281.96679217974344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2.1831471374408231</v>
      </c>
      <c r="O56" s="44">
        <f t="shared" si="18"/>
        <v>152.45691849799448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1.9162938605808999</v>
      </c>
      <c r="O57" s="44">
        <f t="shared" si="18"/>
        <v>82.469594770162828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1.6706681672619779</v>
      </c>
      <c r="O58" s="44">
        <f t="shared" si="18"/>
        <v>46.845531125716661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1.461097315957022</v>
      </c>
      <c r="O59" s="44">
        <f t="shared" si="18"/>
        <v>28.913276934957644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1.2935544741264524</v>
      </c>
      <c r="O60" s="44">
        <f t="shared" si="18"/>
        <v>19.658685465865776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1.1664440868986303</v>
      </c>
      <c r="O61" s="18">
        <f t="shared" si="18"/>
        <v>14.670472002358157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1.0737875480351353</v>
      </c>
      <c r="O62" s="18">
        <f t="shared" si="18"/>
        <v>11.85188825319827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CG Base RH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4.3925385771556185</v>
      </c>
      <c r="E85" s="57">
        <f>10^(LOG(C85)+D85)</f>
        <v>617274.85457814403</v>
      </c>
      <c r="F85" s="58">
        <f>10^($N$42+($P$23-$N$42)/(1+EXP($O$42+$P$42*(LOG10(C85)+$Q$42/19.147142*(1/(273.2+A85)-1/($M$23+273.2))))))</f>
        <v>2508.5974728815754</v>
      </c>
      <c r="G85" s="59">
        <f>F85*6.89476</f>
        <v>17296.17751212497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4.3925385771556185</v>
      </c>
      <c r="E86" s="57">
        <f t="shared" ref="E86:E115" si="20">10^(LOG(C86)+D86)</f>
        <v>246909.94183125737</v>
      </c>
      <c r="F86" s="58">
        <f t="shared" ref="F86:F115" si="21">10^($N$42+($P$23-$N$42)/(1+EXP($O$42+$P$42*(LOG10(C86)+$Q$42/19.147142*(1/(273.2+A86)-1/($M$23+273.2))))))</f>
        <v>2409.328270635081</v>
      </c>
      <c r="G86" s="59">
        <f t="shared" ref="G86:G115" si="22">F86*6.89476</f>
        <v>16611.74018724393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4.3925385771556185</v>
      </c>
      <c r="E87" s="57">
        <f t="shared" si="20"/>
        <v>123454.97091562868</v>
      </c>
      <c r="F87" s="58">
        <f t="shared" si="21"/>
        <v>2326.9500866960384</v>
      </c>
      <c r="G87" s="59">
        <f t="shared" si="22"/>
        <v>16043.762379748377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4.3925385771556185</v>
      </c>
      <c r="E88" s="57">
        <f t="shared" si="20"/>
        <v>24690.994183125753</v>
      </c>
      <c r="F88" s="58">
        <f t="shared" si="21"/>
        <v>2111.3813272129523</v>
      </c>
      <c r="G88" s="59">
        <f t="shared" si="22"/>
        <v>14557.467519614775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4.3925385771556185</v>
      </c>
      <c r="E89" s="57">
        <f t="shared" si="20"/>
        <v>12345.497091562876</v>
      </c>
      <c r="F89" s="58">
        <f t="shared" si="21"/>
        <v>2008.4788771534209</v>
      </c>
      <c r="G89" s="59">
        <f t="shared" si="22"/>
        <v>13847.97982304232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4.3925385771556185</v>
      </c>
      <c r="E90" s="57">
        <f t="shared" si="20"/>
        <v>2469.0994183125749</v>
      </c>
      <c r="F90" s="58">
        <f t="shared" si="21"/>
        <v>1749.3581976155826</v>
      </c>
      <c r="G90" s="59">
        <f t="shared" si="22"/>
        <v>12061.404926592015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2.159098521303926</v>
      </c>
      <c r="E91" s="57">
        <f t="shared" si="20"/>
        <v>3606.106344544909</v>
      </c>
      <c r="F91" s="58">
        <f t="shared" si="21"/>
        <v>1812.8945703396605</v>
      </c>
      <c r="G91" s="59">
        <f t="shared" si="22"/>
        <v>12499.472967795078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2.159098521303926</v>
      </c>
      <c r="E92" s="57">
        <f t="shared" si="20"/>
        <v>1442.4425378179624</v>
      </c>
      <c r="F92" s="58">
        <f t="shared" si="21"/>
        <v>1658.0624150633405</v>
      </c>
      <c r="G92" s="59">
        <f t="shared" si="22"/>
        <v>11431.942416882117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2.159098521303926</v>
      </c>
      <c r="E93" s="57">
        <f t="shared" si="20"/>
        <v>721.22126890898107</v>
      </c>
      <c r="F93" s="58">
        <f t="shared" si="21"/>
        <v>1537.3435690586628</v>
      </c>
      <c r="G93" s="59">
        <f t="shared" si="22"/>
        <v>10599.614946202906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2.159098521303926</v>
      </c>
      <c r="E94" s="57">
        <f t="shared" si="20"/>
        <v>144.2442537817962</v>
      </c>
      <c r="F94" s="58">
        <f t="shared" si="21"/>
        <v>1252.4331184304724</v>
      </c>
      <c r="G94" s="59">
        <f t="shared" si="22"/>
        <v>8635.2257676296831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2.159098521303926</v>
      </c>
      <c r="E95" s="57">
        <f t="shared" si="20"/>
        <v>72.122126890898087</v>
      </c>
      <c r="F95" s="58">
        <f t="shared" si="21"/>
        <v>1131.1017992469622</v>
      </c>
      <c r="G95" s="59">
        <f t="shared" si="22"/>
        <v>7798.6754413759845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2.159098521303926</v>
      </c>
      <c r="E96" s="57">
        <f t="shared" si="20"/>
        <v>14.424425378179617</v>
      </c>
      <c r="F96" s="58">
        <f t="shared" si="21"/>
        <v>863.23492379972379</v>
      </c>
      <c r="G96" s="59">
        <f t="shared" si="22"/>
        <v>5951.7976232173833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-0.14548637536308467</v>
      </c>
      <c r="E97" s="57">
        <f t="shared" si="20"/>
        <v>17.883545883643297</v>
      </c>
      <c r="F97" s="58">
        <f t="shared" si="21"/>
        <v>897.74641174340559</v>
      </c>
      <c r="G97" s="59">
        <f t="shared" si="22"/>
        <v>6189.7460498319633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-0.14548637536308467</v>
      </c>
      <c r="E98" s="57">
        <f t="shared" si="20"/>
        <v>7.1534183534573161</v>
      </c>
      <c r="F98" s="58">
        <f t="shared" si="21"/>
        <v>756.17460202221105</v>
      </c>
      <c r="G98" s="59">
        <f t="shared" si="22"/>
        <v>5213.6423990386593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-0.14548637536308467</v>
      </c>
      <c r="E99" s="57">
        <f t="shared" si="20"/>
        <v>3.5767091767286572</v>
      </c>
      <c r="F99" s="58">
        <f t="shared" si="21"/>
        <v>657.33607706886448</v>
      </c>
      <c r="G99" s="59">
        <f t="shared" si="22"/>
        <v>4532.1744907313241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-0.14548637536308467</v>
      </c>
      <c r="E100" s="57">
        <f t="shared" si="20"/>
        <v>0.71534183534573148</v>
      </c>
      <c r="F100" s="58">
        <f t="shared" si="21"/>
        <v>459.75134507767046</v>
      </c>
      <c r="G100" s="59">
        <f t="shared" si="22"/>
        <v>3169.8751839877191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-0.14548637536308467</v>
      </c>
      <c r="E101" s="57">
        <f t="shared" si="20"/>
        <v>0.35767091767286568</v>
      </c>
      <c r="F101" s="58">
        <f t="shared" si="21"/>
        <v>389.2149553392394</v>
      </c>
      <c r="G101" s="59">
        <f t="shared" si="22"/>
        <v>2683.543705474774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-0.14548637536308467</v>
      </c>
      <c r="E102" s="57">
        <f t="shared" si="20"/>
        <v>7.1534183534573109E-2</v>
      </c>
      <c r="F102" s="58">
        <f t="shared" si="21"/>
        <v>258.34516936096287</v>
      </c>
      <c r="G102" s="59">
        <f t="shared" si="22"/>
        <v>1781.2279399031922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-2.2030058695607551</v>
      </c>
      <c r="E103" s="57">
        <f t="shared" si="20"/>
        <v>0.15665134898524594</v>
      </c>
      <c r="F103" s="58">
        <f t="shared" si="21"/>
        <v>316.6593537712501</v>
      </c>
      <c r="G103" s="59">
        <f t="shared" si="22"/>
        <v>2183.2902460078644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-2.2030058695607551</v>
      </c>
      <c r="E104" s="57">
        <f t="shared" si="20"/>
        <v>6.2660539594098369E-2</v>
      </c>
      <c r="F104" s="58">
        <f t="shared" si="21"/>
        <v>249.59743760761197</v>
      </c>
      <c r="G104" s="59">
        <f t="shared" si="22"/>
        <v>1720.9144289194587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-2.2030058695607551</v>
      </c>
      <c r="E105" s="57">
        <f t="shared" si="20"/>
        <v>3.1330269797049171E-2</v>
      </c>
      <c r="F105" s="58">
        <f t="shared" si="21"/>
        <v>207.5686260943161</v>
      </c>
      <c r="G105" s="59">
        <f t="shared" si="22"/>
        <v>1431.1358604500469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-2.2030058695607551</v>
      </c>
      <c r="E106" s="57">
        <f t="shared" si="20"/>
        <v>6.2660539594098326E-3</v>
      </c>
      <c r="F106" s="58">
        <f t="shared" si="21"/>
        <v>134.40856017367651</v>
      </c>
      <c r="G106" s="59">
        <f t="shared" si="22"/>
        <v>926.71476434305782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-2.2030058695607551</v>
      </c>
      <c r="E107" s="57">
        <f t="shared" si="20"/>
        <v>3.1330269797049163E-3</v>
      </c>
      <c r="F107" s="58">
        <f t="shared" si="21"/>
        <v>111.5352125988683</v>
      </c>
      <c r="G107" s="59">
        <f t="shared" si="22"/>
        <v>769.00852241817313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-2.2030058695607551</v>
      </c>
      <c r="E108" s="57">
        <f t="shared" si="20"/>
        <v>6.2660539594098315E-4</v>
      </c>
      <c r="F108" s="58">
        <f t="shared" si="21"/>
        <v>73.163955914020889</v>
      </c>
      <c r="G108" s="59">
        <f t="shared" si="22"/>
        <v>504.44791667775462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-4.05116899553237</v>
      </c>
      <c r="E109" s="57">
        <f t="shared" si="20"/>
        <v>2.2221379334209507E-3</v>
      </c>
      <c r="F109" s="58">
        <f t="shared" si="21"/>
        <v>101.80378965524014</v>
      </c>
      <c r="G109" s="59">
        <f t="shared" si="22"/>
        <v>701.91269676336344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-4.05116899553237</v>
      </c>
      <c r="E110" s="57">
        <f t="shared" si="20"/>
        <v>8.8885517336838023E-4</v>
      </c>
      <c r="F110" s="58">
        <f t="shared" si="21"/>
        <v>80.054959248832972</v>
      </c>
      <c r="G110" s="59">
        <f t="shared" si="22"/>
        <v>551.95973083048364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-4.05116899553237</v>
      </c>
      <c r="E111" s="57">
        <f t="shared" si="20"/>
        <v>4.4442758668419011E-4</v>
      </c>
      <c r="F111" s="58">
        <f t="shared" si="21"/>
        <v>67.104449990201957</v>
      </c>
      <c r="G111" s="59">
        <f t="shared" si="22"/>
        <v>462.6690776144448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-4.05116899553237</v>
      </c>
      <c r="E112" s="57">
        <f t="shared" si="20"/>
        <v>8.8885517336838014E-5</v>
      </c>
      <c r="F112" s="58">
        <f t="shared" si="21"/>
        <v>45.633011051543406</v>
      </c>
      <c r="G112" s="59">
        <f t="shared" si="22"/>
        <v>314.62865927773942</v>
      </c>
    </row>
    <row r="113" spans="1:8" x14ac:dyDescent="0.25">
      <c r="A113" s="23">
        <v>54.444444444444443</v>
      </c>
      <c r="B113" s="8">
        <v>130</v>
      </c>
      <c r="C113" s="8">
        <v>0.5</v>
      </c>
      <c r="D113" s="56">
        <f t="shared" si="19"/>
        <v>-4.05116899553237</v>
      </c>
      <c r="E113" s="57">
        <f t="shared" si="20"/>
        <v>4.4442758668419E-5</v>
      </c>
      <c r="F113" s="58">
        <f t="shared" si="21"/>
        <v>39.131898337648209</v>
      </c>
      <c r="G113" s="59">
        <f t="shared" si="22"/>
        <v>269.80504738248334</v>
      </c>
    </row>
    <row r="114" spans="1:8" x14ac:dyDescent="0.25">
      <c r="A114" s="23">
        <v>54.444444444444443</v>
      </c>
      <c r="B114" s="8">
        <v>130</v>
      </c>
      <c r="C114" s="8">
        <v>0.1</v>
      </c>
      <c r="D114" s="56">
        <f t="shared" si="19"/>
        <v>-4.05116899553237</v>
      </c>
      <c r="E114" s="57">
        <f t="shared" si="20"/>
        <v>8.8885517336838072E-6</v>
      </c>
      <c r="F114" s="58">
        <f t="shared" si="21"/>
        <v>28.296679227007012</v>
      </c>
      <c r="G114" s="59">
        <f t="shared" si="22"/>
        <v>195.09881206719885</v>
      </c>
    </row>
    <row r="115" spans="1:8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704.12759617376673</v>
      </c>
      <c r="G115" s="67">
        <f t="shared" si="22"/>
        <v>4854.7907849950398</v>
      </c>
      <c r="H115" s="68" t="s">
        <v>103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74DD-55ED-4683-BB7E-BA1C2302E85D}">
  <dimension ref="A1:CJ115"/>
  <sheetViews>
    <sheetView view="pageBreakPreview" topLeftCell="A22" zoomScale="80" zoomScaleNormal="70" zoomScaleSheetLayoutView="80" workbookViewId="0">
      <selection activeCell="J22" sqref="J22"/>
    </sheetView>
  </sheetViews>
  <sheetFormatPr defaultColWidth="8.85546875" defaultRowHeight="15" x14ac:dyDescent="0.25"/>
  <cols>
    <col min="1" max="1" width="13.5703125" style="3" customWidth="1"/>
    <col min="2" max="2" width="13" style="3" customWidth="1"/>
    <col min="3" max="3" width="10.7109375" style="3" customWidth="1"/>
    <col min="4" max="5" width="11.85546875" style="3" customWidth="1"/>
    <col min="6" max="6" width="11.5703125" style="3" customWidth="1"/>
    <col min="7" max="7" width="8.85546875" style="3"/>
    <col min="8" max="8" width="11.5703125" style="3" bestFit="1" customWidth="1"/>
    <col min="9" max="9" width="19.42578125" style="3" customWidth="1"/>
    <col min="10" max="10" width="8.85546875" style="3"/>
    <col min="11" max="11" width="10.42578125" style="3" bestFit="1" customWidth="1"/>
    <col min="12" max="12" width="13" style="3" customWidth="1"/>
    <col min="13" max="13" width="20.28515625" style="4" bestFit="1" customWidth="1"/>
    <col min="14" max="19" width="8.85546875" style="4"/>
    <col min="20" max="20" width="11.85546875" style="4" bestFit="1" customWidth="1"/>
    <col min="21" max="21" width="8.85546875" style="4" customWidth="1"/>
    <col min="22" max="22" width="8.85546875" style="4"/>
    <col min="23" max="23" width="11.5703125" style="4" bestFit="1" customWidth="1"/>
    <col min="24" max="88" width="8.85546875" style="4"/>
    <col min="89" max="16384" width="8.85546875" style="3"/>
  </cols>
  <sheetData>
    <row r="1" spans="1:23" x14ac:dyDescent="0.25">
      <c r="A1" s="1" t="s">
        <v>0</v>
      </c>
      <c r="B1" s="2" t="s">
        <v>100</v>
      </c>
      <c r="C1" s="2"/>
      <c r="D1" s="2"/>
    </row>
    <row r="2" spans="1:23" x14ac:dyDescent="0.25">
      <c r="A2" s="1" t="s">
        <v>1</v>
      </c>
      <c r="B2" s="61" t="s">
        <v>101</v>
      </c>
      <c r="C2" s="5"/>
      <c r="D2" s="5"/>
    </row>
    <row r="3" spans="1:23" x14ac:dyDescent="0.25">
      <c r="A3" s="1" t="s">
        <v>2</v>
      </c>
      <c r="B3" s="6" t="s">
        <v>99</v>
      </c>
      <c r="C3" s="6"/>
      <c r="D3" s="6"/>
    </row>
    <row r="4" spans="1:23" x14ac:dyDescent="0.25">
      <c r="A4" s="1" t="s">
        <v>3</v>
      </c>
      <c r="B4" s="6" t="s">
        <v>102</v>
      </c>
      <c r="C4" s="6"/>
      <c r="D4" s="6"/>
    </row>
    <row r="7" spans="1:23" x14ac:dyDescent="0.25">
      <c r="A7" s="1" t="s">
        <v>4</v>
      </c>
    </row>
    <row r="8" spans="1:23" x14ac:dyDescent="0.25">
      <c r="A8" s="7" t="s">
        <v>5</v>
      </c>
    </row>
    <row r="9" spans="1:23" x14ac:dyDescent="0.25">
      <c r="A9" s="7" t="s">
        <v>6</v>
      </c>
    </row>
    <row r="10" spans="1:23" x14ac:dyDescent="0.25">
      <c r="A10" s="7" t="s">
        <v>7</v>
      </c>
    </row>
    <row r="12" spans="1:23" x14ac:dyDescent="0.25">
      <c r="A12" s="1" t="s">
        <v>8</v>
      </c>
    </row>
    <row r="13" spans="1:23" x14ac:dyDescent="0.25">
      <c r="A13" s="8" t="s">
        <v>9</v>
      </c>
      <c r="B13" s="9" t="s">
        <v>145</v>
      </c>
      <c r="C13" s="10"/>
      <c r="D13" s="10"/>
      <c r="F13" s="11"/>
      <c r="G13" s="12" t="s">
        <v>10</v>
      </c>
      <c r="H13" s="12" t="s">
        <v>11</v>
      </c>
      <c r="M13" s="13" t="s">
        <v>12</v>
      </c>
    </row>
    <row r="14" spans="1:23" x14ac:dyDescent="0.25">
      <c r="A14" s="8" t="s">
        <v>13</v>
      </c>
      <c r="B14" s="14">
        <v>2.7250000000000001</v>
      </c>
      <c r="F14" s="8" t="s">
        <v>14</v>
      </c>
      <c r="G14" s="60" t="s">
        <v>110</v>
      </c>
      <c r="H14" s="16">
        <v>6.9</v>
      </c>
      <c r="M14" s="17" t="s">
        <v>15</v>
      </c>
      <c r="N14" s="17" t="s">
        <v>16</v>
      </c>
      <c r="O14" s="17" t="s">
        <v>17</v>
      </c>
      <c r="P14" s="17" t="s">
        <v>18</v>
      </c>
      <c r="Q14" s="17" t="s">
        <v>19</v>
      </c>
      <c r="R14" s="17" t="s">
        <v>20</v>
      </c>
      <c r="S14" s="17" t="s">
        <v>21</v>
      </c>
      <c r="T14" s="17" t="s">
        <v>22</v>
      </c>
      <c r="U14" s="18"/>
      <c r="W14" s="18"/>
    </row>
    <row r="15" spans="1:23" x14ac:dyDescent="0.25">
      <c r="A15" s="8" t="s">
        <v>23</v>
      </c>
      <c r="B15" s="19">
        <v>4.6399999999999997</v>
      </c>
      <c r="F15" s="8" t="s">
        <v>24</v>
      </c>
      <c r="G15" s="60" t="s">
        <v>117</v>
      </c>
      <c r="H15" s="16">
        <v>7</v>
      </c>
      <c r="M15" s="4" t="str">
        <f t="shared" ref="M15:N17" si="0">G14</f>
        <v>1B</v>
      </c>
      <c r="N15" s="18">
        <f t="shared" si="0"/>
        <v>6.9</v>
      </c>
      <c r="O15" s="4">
        <f>$B$14</f>
        <v>2.7250000000000001</v>
      </c>
      <c r="P15" s="20">
        <f>$B$15</f>
        <v>4.6399999999999997</v>
      </c>
      <c r="Q15" s="21">
        <f>$B$16</f>
        <v>2.56</v>
      </c>
      <c r="R15" s="21">
        <f t="shared" ref="R15:R17" si="1">((Q15*(N15-100))/-100)</f>
        <v>2.3833599999999997</v>
      </c>
      <c r="S15" s="18">
        <f t="shared" ref="S15:S17" si="2">100-((R15*(100-P15))/O15)</f>
        <v>16.595519412844055</v>
      </c>
      <c r="T15" s="18">
        <f t="shared" ref="T15:T17" si="3">100*((S15-N15)/S15)</f>
        <v>58.422512556854564</v>
      </c>
      <c r="U15" s="18"/>
      <c r="W15" s="18"/>
    </row>
    <row r="16" spans="1:23" x14ac:dyDescent="0.25">
      <c r="A16" s="8" t="s">
        <v>25</v>
      </c>
      <c r="B16" s="22">
        <v>2.56</v>
      </c>
      <c r="F16" s="8" t="s">
        <v>26</v>
      </c>
      <c r="G16" s="60" t="s">
        <v>115</v>
      </c>
      <c r="H16" s="16">
        <v>6.8</v>
      </c>
      <c r="M16" s="4" t="str">
        <f t="shared" si="0"/>
        <v>1D</v>
      </c>
      <c r="N16" s="18">
        <f t="shared" si="0"/>
        <v>7</v>
      </c>
      <c r="O16" s="4">
        <f t="shared" ref="O16:O17" si="4">$B$14</f>
        <v>2.7250000000000001</v>
      </c>
      <c r="P16" s="20">
        <f t="shared" ref="P16:P17" si="5">$B$15</f>
        <v>4.6399999999999997</v>
      </c>
      <c r="Q16" s="21">
        <f t="shared" ref="Q16:Q17" si="6">$B$16</f>
        <v>2.56</v>
      </c>
      <c r="R16" s="21">
        <f t="shared" si="1"/>
        <v>2.3808000000000002</v>
      </c>
      <c r="S16" s="18">
        <f t="shared" si="2"/>
        <v>16.685105321100906</v>
      </c>
      <c r="T16" s="18">
        <f t="shared" si="3"/>
        <v>58.046414060405041</v>
      </c>
      <c r="U16" s="18"/>
    </row>
    <row r="17" spans="1:88" x14ac:dyDescent="0.25">
      <c r="A17" s="8" t="s">
        <v>21</v>
      </c>
      <c r="B17" s="23">
        <f>AVERAGE(S15:S17)</f>
        <v>16.595519412844041</v>
      </c>
      <c r="M17" s="4" t="str">
        <f t="shared" si="0"/>
        <v>2B</v>
      </c>
      <c r="N17" s="18">
        <f t="shared" si="0"/>
        <v>6.8</v>
      </c>
      <c r="O17" s="4">
        <f t="shared" si="4"/>
        <v>2.7250000000000001</v>
      </c>
      <c r="P17" s="20">
        <f t="shared" si="5"/>
        <v>4.6399999999999997</v>
      </c>
      <c r="Q17" s="21">
        <f t="shared" si="6"/>
        <v>2.56</v>
      </c>
      <c r="R17" s="21">
        <f t="shared" si="1"/>
        <v>2.38592</v>
      </c>
      <c r="S17" s="18">
        <f t="shared" si="2"/>
        <v>16.505933504587162</v>
      </c>
      <c r="T17" s="18">
        <f t="shared" si="3"/>
        <v>58.802693600393987</v>
      </c>
    </row>
    <row r="18" spans="1:88" x14ac:dyDescent="0.25">
      <c r="A18" s="8" t="s">
        <v>22</v>
      </c>
      <c r="B18" s="23">
        <f>AVERAGE(T15:T17)</f>
        <v>58.423873405884528</v>
      </c>
    </row>
    <row r="19" spans="1:88" x14ac:dyDescent="0.25">
      <c r="B19" s="24"/>
    </row>
    <row r="20" spans="1:88" x14ac:dyDescent="0.25">
      <c r="A20" s="1" t="s">
        <v>27</v>
      </c>
    </row>
    <row r="21" spans="1:88" x14ac:dyDescent="0.25">
      <c r="A21" s="25" t="s">
        <v>28</v>
      </c>
      <c r="B21" s="25"/>
      <c r="C21" s="25" t="s">
        <v>29</v>
      </c>
      <c r="D21" s="25"/>
      <c r="E21" s="25" t="s">
        <v>30</v>
      </c>
      <c r="F21" s="25"/>
      <c r="G21" s="25" t="s">
        <v>31</v>
      </c>
      <c r="H21" s="25"/>
    </row>
    <row r="22" spans="1:88" s="27" customFormat="1" ht="31.5" x14ac:dyDescent="0.35">
      <c r="A22" s="26" t="s">
        <v>32</v>
      </c>
      <c r="B22" s="26" t="s">
        <v>33</v>
      </c>
      <c r="C22" s="26" t="s">
        <v>34</v>
      </c>
      <c r="D22" s="26" t="s">
        <v>35</v>
      </c>
      <c r="E22" s="26" t="s">
        <v>34</v>
      </c>
      <c r="F22" s="26" t="s">
        <v>35</v>
      </c>
      <c r="G22" s="26" t="s">
        <v>34</v>
      </c>
      <c r="H22" s="26" t="s">
        <v>35</v>
      </c>
      <c r="M22" s="17" t="s">
        <v>36</v>
      </c>
      <c r="N22" s="17" t="s">
        <v>37</v>
      </c>
      <c r="O22" s="17" t="s">
        <v>38</v>
      </c>
      <c r="P22" s="17" t="s">
        <v>39</v>
      </c>
      <c r="Q22" s="4"/>
      <c r="R22" s="17" t="s">
        <v>40</v>
      </c>
      <c r="S22" s="17" t="s">
        <v>41</v>
      </c>
      <c r="T22" s="17" t="s">
        <v>42</v>
      </c>
      <c r="U22" s="4"/>
      <c r="V22" s="4"/>
      <c r="W22" s="4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</row>
    <row r="23" spans="1:88" x14ac:dyDescent="0.25">
      <c r="A23" s="8">
        <v>4</v>
      </c>
      <c r="B23" s="23">
        <v>0.1</v>
      </c>
      <c r="C23" s="16">
        <v>1234.8513014171399</v>
      </c>
      <c r="D23" s="16">
        <v>12.43</v>
      </c>
      <c r="E23" s="16">
        <v>1191.04990453812</v>
      </c>
      <c r="F23" s="16">
        <v>12.29</v>
      </c>
      <c r="G23" s="16">
        <v>1260.95809425894</v>
      </c>
      <c r="H23" s="16">
        <v>11.78</v>
      </c>
      <c r="M23" s="4">
        <v>20</v>
      </c>
      <c r="N23" s="29">
        <f>(20+(B18*3*145000)/(B17))^0.58/(650+((B18*3*145000)/B17)^0.58)</f>
        <v>0.85609922775050873</v>
      </c>
      <c r="O23" s="18">
        <f>(N23*(4200000*(1-B17/100)+3*145000*(B17*B18)/10000)+(1-N23)/((1-B17/100)/4200000+B17/(3*B18*145000)))/1000</f>
        <v>3203.9938236059334</v>
      </c>
      <c r="P23" s="29">
        <f>LOG10(O23)</f>
        <v>3.5056916702160557</v>
      </c>
      <c r="R23" s="30">
        <f>(1/6*T37)^0.5</f>
        <v>2.1075381468734725E-2</v>
      </c>
      <c r="S23" s="30">
        <f>1-R23^2/Q37^2*12/6</f>
        <v>0.99545518500588837</v>
      </c>
      <c r="T23" s="30">
        <f>(1-8*R23^2/9*Q37^2)</f>
        <v>0.9999228274162244</v>
      </c>
    </row>
    <row r="24" spans="1:88" x14ac:dyDescent="0.25">
      <c r="A24" s="8">
        <v>4</v>
      </c>
      <c r="B24" s="23">
        <v>1</v>
      </c>
      <c r="C24" s="16">
        <v>1604.2624201286101</v>
      </c>
      <c r="D24" s="16">
        <v>10.5</v>
      </c>
      <c r="E24" s="16">
        <v>1547.69770230471</v>
      </c>
      <c r="F24" s="16">
        <v>10.47</v>
      </c>
      <c r="G24" s="16">
        <v>1611.65934476712</v>
      </c>
      <c r="H24" s="16">
        <v>9.9499999999999993</v>
      </c>
    </row>
    <row r="25" spans="1:88" x14ac:dyDescent="0.25">
      <c r="A25" s="8">
        <v>4</v>
      </c>
      <c r="B25" s="23">
        <v>10</v>
      </c>
      <c r="C25" s="16">
        <v>2034.1542755902501</v>
      </c>
      <c r="D25" s="16">
        <v>9.14</v>
      </c>
      <c r="E25" s="16">
        <v>1964.2460858694301</v>
      </c>
      <c r="F25" s="16">
        <v>9.07</v>
      </c>
      <c r="G25" s="16">
        <v>2014.1390677448701</v>
      </c>
      <c r="H25" s="16">
        <v>8.74</v>
      </c>
      <c r="M25" s="31" t="s">
        <v>43</v>
      </c>
      <c r="N25" s="31"/>
      <c r="O25" s="32" t="s">
        <v>44</v>
      </c>
      <c r="P25" s="32"/>
      <c r="Q25" s="32" t="s">
        <v>45</v>
      </c>
      <c r="R25" s="32"/>
      <c r="S25" s="32" t="s">
        <v>46</v>
      </c>
      <c r="T25" s="32" t="s">
        <v>47</v>
      </c>
      <c r="U25" s="32" t="s">
        <v>48</v>
      </c>
      <c r="V25" s="32" t="s">
        <v>49</v>
      </c>
      <c r="W25" s="32" t="s">
        <v>50</v>
      </c>
    </row>
    <row r="26" spans="1:88" x14ac:dyDescent="0.25">
      <c r="A26" s="8">
        <v>20</v>
      </c>
      <c r="B26" s="23">
        <v>0.1</v>
      </c>
      <c r="C26" s="16">
        <v>427.13613843945001</v>
      </c>
      <c r="D26" s="16">
        <v>22.08</v>
      </c>
      <c r="E26" s="16">
        <v>419.73921380093998</v>
      </c>
      <c r="F26" s="16">
        <v>21.36</v>
      </c>
      <c r="G26" s="16">
        <v>442.22006319248999</v>
      </c>
      <c r="H26" s="16">
        <v>21.28</v>
      </c>
      <c r="M26" s="32" t="s">
        <v>51</v>
      </c>
      <c r="N26" s="32" t="s">
        <v>52</v>
      </c>
      <c r="O26" s="32" t="s">
        <v>53</v>
      </c>
      <c r="P26" s="32" t="s">
        <v>54</v>
      </c>
      <c r="Q26" s="32" t="s">
        <v>55</v>
      </c>
      <c r="R26" s="32" t="s">
        <v>56</v>
      </c>
      <c r="S26" s="32"/>
      <c r="T26" s="32"/>
      <c r="U26" s="32"/>
      <c r="V26" s="32"/>
      <c r="W26" s="32"/>
    </row>
    <row r="27" spans="1:88" x14ac:dyDescent="0.25">
      <c r="A27" s="8">
        <v>20</v>
      </c>
      <c r="B27" s="23">
        <v>1</v>
      </c>
      <c r="C27" s="16">
        <v>667.89878353605002</v>
      </c>
      <c r="D27" s="16">
        <v>19.21</v>
      </c>
      <c r="E27" s="16">
        <v>655.42553806719002</v>
      </c>
      <c r="F27" s="16">
        <v>18.989999999999998</v>
      </c>
      <c r="G27" s="16">
        <v>680.80714221894004</v>
      </c>
      <c r="H27" s="16">
        <v>18.61</v>
      </c>
      <c r="M27" s="32" t="s">
        <v>57</v>
      </c>
      <c r="N27" s="32" t="s">
        <v>58</v>
      </c>
      <c r="O27" s="32" t="s">
        <v>59</v>
      </c>
      <c r="P27" s="32" t="s">
        <v>60</v>
      </c>
      <c r="Q27" s="32"/>
      <c r="R27" s="32"/>
      <c r="S27" s="32"/>
      <c r="T27" s="32"/>
      <c r="U27" s="32"/>
      <c r="V27" s="32"/>
      <c r="W27" s="32"/>
    </row>
    <row r="28" spans="1:88" s="4" customFormat="1" x14ac:dyDescent="0.25">
      <c r="A28" s="8">
        <v>20</v>
      </c>
      <c r="B28" s="23">
        <v>10</v>
      </c>
      <c r="C28" s="16">
        <v>1009.75273202562</v>
      </c>
      <c r="D28" s="16">
        <v>15.85</v>
      </c>
      <c r="E28" s="16">
        <v>982.77571275575997</v>
      </c>
      <c r="F28" s="16">
        <v>16.07</v>
      </c>
      <c r="G28" s="16">
        <v>1015.98935476005</v>
      </c>
      <c r="H28" s="16">
        <v>15.58</v>
      </c>
      <c r="I28" s="3"/>
      <c r="J28" s="3"/>
      <c r="K28" s="3"/>
      <c r="L28" s="3"/>
      <c r="M28" s="32">
        <f t="shared" ref="M28:N36" si="7">A23</f>
        <v>4</v>
      </c>
      <c r="N28" s="32">
        <f t="shared" si="7"/>
        <v>0.1</v>
      </c>
      <c r="O28" s="33">
        <f>C40</f>
        <v>1228.9531000713998</v>
      </c>
      <c r="P28" s="33">
        <f>E40</f>
        <v>12.166666666666666</v>
      </c>
      <c r="Q28" s="34">
        <f>LOG10(O28)</f>
        <v>3.0895353094374371</v>
      </c>
      <c r="R28" s="34">
        <f t="shared" ref="R28:R33" si="8">$N$42+($P$23-$N$42)/(1+EXP($O$42+$P$42*(LOG10(N28)+$Q$42/19.147142*(1/(273.2+M28)-1/($M$23+273.2)))))</f>
        <v>3.0669406100861369</v>
      </c>
      <c r="S28" s="34">
        <f>Q28-R28</f>
        <v>2.2594699351300207E-2</v>
      </c>
      <c r="T28" s="35">
        <f>S28^2</f>
        <v>5.1052043877564601E-4</v>
      </c>
      <c r="U28" s="34">
        <f>$Q$42/19.147143*(1/(M28+273.15)-1/($M$23+273.15))</f>
        <v>2.2525354740134058</v>
      </c>
      <c r="V28" s="34">
        <f>LOG10(N28)+U28</f>
        <v>1.2525354740134058</v>
      </c>
      <c r="W28" s="34">
        <f>10^V28</f>
        <v>17.88691626933149</v>
      </c>
    </row>
    <row r="29" spans="1:88" s="4" customFormat="1" x14ac:dyDescent="0.25">
      <c r="A29" s="15">
        <v>40</v>
      </c>
      <c r="B29" s="23">
        <v>0.1</v>
      </c>
      <c r="C29" s="16">
        <v>91.127210791682998</v>
      </c>
      <c r="D29" s="16">
        <v>27.07</v>
      </c>
      <c r="E29" s="16">
        <v>95.811929729406003</v>
      </c>
      <c r="F29" s="16">
        <v>25.1</v>
      </c>
      <c r="G29" s="16">
        <v>110.51875636362</v>
      </c>
      <c r="H29" s="16">
        <v>25.88</v>
      </c>
      <c r="I29" s="3"/>
      <c r="J29" s="3"/>
      <c r="K29" s="3"/>
      <c r="L29" s="3"/>
      <c r="M29" s="32">
        <f t="shared" si="7"/>
        <v>4</v>
      </c>
      <c r="N29" s="32">
        <f t="shared" si="7"/>
        <v>1</v>
      </c>
      <c r="O29" s="33">
        <f>C39</f>
        <v>1587.8731557334802</v>
      </c>
      <c r="P29" s="33">
        <f>E39</f>
        <v>10.306666666666667</v>
      </c>
      <c r="Q29" s="34">
        <f t="shared" ref="Q29:Q33" si="9">LOG10(O29)</f>
        <v>3.2008158066771961</v>
      </c>
      <c r="R29" s="34">
        <f t="shared" si="8"/>
        <v>3.1960450373920199</v>
      </c>
      <c r="S29" s="34">
        <f t="shared" ref="S29:S33" si="10">Q29-R29</f>
        <v>4.7707692851761685E-3</v>
      </c>
      <c r="T29" s="35">
        <f t="shared" ref="T29:T33" si="11">S29^2</f>
        <v>2.2760239572380328E-5</v>
      </c>
      <c r="U29" s="34">
        <f t="shared" ref="U29:U33" si="12">$Q$42/19.147143*(1/(M29+273.15)-1/($M$23+273.15))</f>
        <v>2.2525354740134058</v>
      </c>
      <c r="V29" s="34">
        <f t="shared" ref="V29:V33" si="13">LOG10(N29)+U29</f>
        <v>2.2525354740134058</v>
      </c>
      <c r="W29" s="34">
        <f t="shared" ref="W29:W33" si="14">10^V29</f>
        <v>178.86916269331502</v>
      </c>
    </row>
    <row r="30" spans="1:88" s="4" customFormat="1" x14ac:dyDescent="0.25">
      <c r="A30" s="15">
        <v>40</v>
      </c>
      <c r="B30" s="23">
        <v>1</v>
      </c>
      <c r="C30" s="16">
        <v>166.50332323548</v>
      </c>
      <c r="D30" s="16">
        <v>27.78</v>
      </c>
      <c r="E30" s="16">
        <v>172.30483275588</v>
      </c>
      <c r="F30" s="16">
        <v>26.18</v>
      </c>
      <c r="G30" s="16">
        <v>199.13681428773</v>
      </c>
      <c r="H30" s="16">
        <v>25.86</v>
      </c>
      <c r="I30" s="3"/>
      <c r="J30" s="3"/>
      <c r="K30" s="3"/>
      <c r="L30" s="3"/>
      <c r="M30" s="32">
        <f t="shared" si="7"/>
        <v>4</v>
      </c>
      <c r="N30" s="32">
        <f t="shared" si="7"/>
        <v>10</v>
      </c>
      <c r="O30" s="33">
        <f>C38</f>
        <v>2004.1798097348501</v>
      </c>
      <c r="P30" s="33">
        <f>E38</f>
        <v>8.9833333333333343</v>
      </c>
      <c r="Q30" s="34">
        <f t="shared" si="9"/>
        <v>3.3019366827004486</v>
      </c>
      <c r="R30" s="34">
        <f t="shared" si="8"/>
        <v>3.2910050698521083</v>
      </c>
      <c r="S30" s="34">
        <f t="shared" si="10"/>
        <v>1.0931612848340322E-2</v>
      </c>
      <c r="T30" s="35">
        <f t="shared" si="11"/>
        <v>1.1950015946599921E-4</v>
      </c>
      <c r="U30" s="34">
        <f t="shared" si="12"/>
        <v>2.2525354740134058</v>
      </c>
      <c r="V30" s="34">
        <f t="shared" si="13"/>
        <v>3.2525354740134058</v>
      </c>
      <c r="W30" s="34">
        <f t="shared" si="14"/>
        <v>1788.6916269331505</v>
      </c>
    </row>
    <row r="31" spans="1:88" s="4" customFormat="1" x14ac:dyDescent="0.25">
      <c r="A31" s="15">
        <v>40</v>
      </c>
      <c r="B31" s="23">
        <v>10</v>
      </c>
      <c r="C31" s="16">
        <v>330.68604266279999</v>
      </c>
      <c r="D31" s="16">
        <v>25.05</v>
      </c>
      <c r="E31" s="16">
        <v>337.79289182528998</v>
      </c>
      <c r="F31" s="16">
        <v>24.19</v>
      </c>
      <c r="G31" s="16">
        <v>368.68593002142001</v>
      </c>
      <c r="H31" s="16">
        <v>23.35</v>
      </c>
      <c r="I31" s="3"/>
      <c r="J31" s="3"/>
      <c r="K31" s="3"/>
      <c r="L31" s="3"/>
      <c r="M31" s="32">
        <f t="shared" si="7"/>
        <v>20</v>
      </c>
      <c r="N31" s="32">
        <f t="shared" si="7"/>
        <v>0.1</v>
      </c>
      <c r="O31" s="33">
        <f>C43</f>
        <v>429.69847181095997</v>
      </c>
      <c r="P31" s="33">
        <f>E43</f>
        <v>21.573333333333334</v>
      </c>
      <c r="Q31" s="34">
        <f t="shared" si="9"/>
        <v>2.6331638091522587</v>
      </c>
      <c r="R31" s="34">
        <f t="shared" si="8"/>
        <v>2.6322860006709075</v>
      </c>
      <c r="S31" s="34">
        <f t="shared" si="10"/>
        <v>8.7780848135121659E-4</v>
      </c>
      <c r="T31" s="35">
        <f t="shared" si="11"/>
        <v>7.7054772993212915E-7</v>
      </c>
      <c r="U31" s="34">
        <f t="shared" si="12"/>
        <v>0</v>
      </c>
      <c r="V31" s="34">
        <f t="shared" si="13"/>
        <v>-1</v>
      </c>
      <c r="W31" s="34">
        <f t="shared" si="14"/>
        <v>0.1</v>
      </c>
    </row>
    <row r="32" spans="1:88" s="4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2">
        <f t="shared" si="7"/>
        <v>20</v>
      </c>
      <c r="N32" s="32">
        <f t="shared" si="7"/>
        <v>1</v>
      </c>
      <c r="O32" s="33">
        <f>C42</f>
        <v>668.04382127406006</v>
      </c>
      <c r="P32" s="33">
        <f>E42</f>
        <v>18.936666666666667</v>
      </c>
      <c r="Q32" s="34">
        <f t="shared" si="9"/>
        <v>2.8248049515673226</v>
      </c>
      <c r="R32" s="34">
        <f t="shared" si="8"/>
        <v>2.8497358480275654</v>
      </c>
      <c r="S32" s="34">
        <f t="shared" si="10"/>
        <v>-2.4930896460242824E-2</v>
      </c>
      <c r="T32" s="35">
        <f t="shared" si="11"/>
        <v>6.2154959831134816E-4</v>
      </c>
      <c r="U32" s="34">
        <f t="shared" si="12"/>
        <v>0</v>
      </c>
      <c r="V32" s="34">
        <f t="shared" si="13"/>
        <v>0</v>
      </c>
      <c r="W32" s="34">
        <f t="shared" si="14"/>
        <v>1</v>
      </c>
    </row>
    <row r="33" spans="1:23" s="4" customForma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2">
        <f t="shared" si="7"/>
        <v>20</v>
      </c>
      <c r="N33" s="32">
        <f t="shared" si="7"/>
        <v>10</v>
      </c>
      <c r="O33" s="33">
        <f>C41</f>
        <v>1002.83926651381</v>
      </c>
      <c r="P33" s="33">
        <f>E41</f>
        <v>15.833333333333334</v>
      </c>
      <c r="Q33" s="34">
        <f t="shared" si="9"/>
        <v>3.0012313305677947</v>
      </c>
      <c r="R33" s="34">
        <f t="shared" si="8"/>
        <v>3.0283708135975522</v>
      </c>
      <c r="S33" s="34">
        <f t="shared" si="10"/>
        <v>-2.713948302975755E-2</v>
      </c>
      <c r="T33" s="35">
        <f t="shared" si="11"/>
        <v>7.3655153912249806E-4</v>
      </c>
      <c r="U33" s="34">
        <f t="shared" si="12"/>
        <v>0</v>
      </c>
      <c r="V33" s="34">
        <f t="shared" si="13"/>
        <v>1</v>
      </c>
      <c r="W33" s="34">
        <f t="shared" si="14"/>
        <v>10</v>
      </c>
    </row>
    <row r="34" spans="1:23" s="4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2">
        <f t="shared" si="7"/>
        <v>40</v>
      </c>
      <c r="N34" s="32">
        <f t="shared" si="7"/>
        <v>0.1</v>
      </c>
      <c r="O34" s="33">
        <f>C46</f>
        <v>99.152632294903</v>
      </c>
      <c r="P34" s="33">
        <f>E46</f>
        <v>26.016666666666666</v>
      </c>
      <c r="Q34" s="34">
        <f>LOG10(O34)</f>
        <v>1.9963042483040681</v>
      </c>
      <c r="R34" s="34">
        <f>$N$42+($P$23-$N$42)/(1+EXP($O$42+$P$42*(LOG10(N34)+$Q$42/19.147142*(1/(273.2+M34)-1/($M$23+273.2)))))</f>
        <v>1.9994624064135162</v>
      </c>
      <c r="S34" s="34">
        <f>Q34-R34</f>
        <v>-3.1581581094481948E-3</v>
      </c>
      <c r="T34" s="35">
        <f>S34^2</f>
        <v>9.9739626442733961E-6</v>
      </c>
      <c r="U34" s="34">
        <f>$Q$42/19.147143*(1/(M34+273.15)-1/($M$23+273.15))</f>
        <v>-2.4919775132636777</v>
      </c>
      <c r="V34" s="34">
        <f>LOG10(N34)+U34</f>
        <v>-3.4919775132636777</v>
      </c>
      <c r="W34" s="34">
        <f>10^V34</f>
        <v>3.2212355748894813E-4</v>
      </c>
    </row>
    <row r="35" spans="1:23" s="4" customFormat="1" x14ac:dyDescent="0.25">
      <c r="A35" s="1" t="s">
        <v>61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2">
        <f t="shared" si="7"/>
        <v>40</v>
      </c>
      <c r="N35" s="32">
        <f t="shared" si="7"/>
        <v>1</v>
      </c>
      <c r="O35" s="33">
        <f>C45</f>
        <v>179.31499009302999</v>
      </c>
      <c r="P35" s="33">
        <f>E45</f>
        <v>26.606666666666666</v>
      </c>
      <c r="Q35" s="34">
        <f>LOG10(O35)</f>
        <v>2.2536165965480577</v>
      </c>
      <c r="R35" s="34">
        <f>$N$42+($P$23-$N$42)/(1+EXP($O$42+$P$42*(LOG10(N35)+$Q$42/19.147142*(1/(273.2+M35)-1/($M$23+273.2)))))</f>
        <v>2.2578897857156774</v>
      </c>
      <c r="S35" s="34">
        <f>Q35-R35</f>
        <v>-4.273189167619762E-3</v>
      </c>
      <c r="T35" s="35">
        <f>S35^2</f>
        <v>1.8260145662262876E-5</v>
      </c>
      <c r="U35" s="34">
        <f>$Q$42/19.147143*(1/(M35+273.15)-1/($M$23+273.15))</f>
        <v>-2.4919775132636777</v>
      </c>
      <c r="V35" s="34">
        <f>LOG10(N35)+U35</f>
        <v>-2.4919775132636777</v>
      </c>
      <c r="W35" s="34">
        <f>10^V35</f>
        <v>3.2212355748894826E-3</v>
      </c>
    </row>
    <row r="36" spans="1:23" s="4" customFormat="1" x14ac:dyDescent="0.25">
      <c r="A36" s="25" t="s">
        <v>28</v>
      </c>
      <c r="B36" s="25"/>
      <c r="C36" s="25" t="s">
        <v>62</v>
      </c>
      <c r="D36" s="25"/>
      <c r="E36" s="25" t="s">
        <v>63</v>
      </c>
      <c r="F36" s="25"/>
      <c r="G36" s="3"/>
      <c r="H36" s="3"/>
      <c r="I36" s="3"/>
      <c r="J36" s="3"/>
      <c r="K36" s="3"/>
      <c r="L36" s="3"/>
      <c r="M36" s="32">
        <f t="shared" si="7"/>
        <v>40</v>
      </c>
      <c r="N36" s="32">
        <f t="shared" si="7"/>
        <v>10</v>
      </c>
      <c r="O36" s="33">
        <f>C44</f>
        <v>345.72162150316996</v>
      </c>
      <c r="P36" s="33">
        <f>E44</f>
        <v>24.196666666666669</v>
      </c>
      <c r="Q36" s="34">
        <f>LOG10(O36)</f>
        <v>2.538726541260317</v>
      </c>
      <c r="R36" s="34">
        <f>$N$42+($P$23-$N$42)/(1+EXP($O$42+$P$42*(LOG10(N36)+$Q$42/19.147142*(1/(273.2+M36)-1/($M$23+273.2)))))</f>
        <v>2.5137236695646141</v>
      </c>
      <c r="S36" s="34">
        <f>Q36-R36</f>
        <v>2.5002871695702922E-2</v>
      </c>
      <c r="T36" s="35">
        <f>S36^2</f>
        <v>6.2514359303178231E-4</v>
      </c>
      <c r="U36" s="34">
        <f>$Q$42/19.147143*(1/(M36+273.15)-1/($M$23+273.15))</f>
        <v>-2.4919775132636777</v>
      </c>
      <c r="V36" s="34">
        <f>LOG10(N36)+U36</f>
        <v>-1.4919775132636777</v>
      </c>
      <c r="W36" s="34">
        <f>10^V36</f>
        <v>3.2212355748894826E-2</v>
      </c>
    </row>
    <row r="37" spans="1:23" s="4" customFormat="1" ht="30" x14ac:dyDescent="0.25">
      <c r="A37" s="26" t="s">
        <v>32</v>
      </c>
      <c r="B37" s="26" t="s">
        <v>33</v>
      </c>
      <c r="C37" s="26" t="s">
        <v>64</v>
      </c>
      <c r="D37" s="26" t="s">
        <v>65</v>
      </c>
      <c r="E37" s="26" t="s">
        <v>66</v>
      </c>
      <c r="F37" s="26" t="s">
        <v>67</v>
      </c>
      <c r="G37" s="3"/>
      <c r="H37" s="3"/>
      <c r="I37" s="71" t="s">
        <v>108</v>
      </c>
      <c r="J37" s="71"/>
      <c r="K37" s="3"/>
      <c r="L37" s="3"/>
      <c r="P37" s="32" t="s">
        <v>68</v>
      </c>
      <c r="Q37" s="35">
        <f>STDEV(Q28:Q36)</f>
        <v>0.44211203522157544</v>
      </c>
      <c r="S37" s="32" t="s">
        <v>69</v>
      </c>
      <c r="T37" s="35">
        <f>SUM(T28:T36)</f>
        <v>2.6650302243161226E-3</v>
      </c>
    </row>
    <row r="38" spans="1:23" s="4" customFormat="1" x14ac:dyDescent="0.25">
      <c r="A38" s="8">
        <f t="shared" ref="A38:A43" si="15">A23</f>
        <v>4</v>
      </c>
      <c r="B38" s="23">
        <f>B25</f>
        <v>10</v>
      </c>
      <c r="C38" s="23">
        <f>AVERAGE(C25,E25,G25)</f>
        <v>2004.1798097348501</v>
      </c>
      <c r="D38" s="23">
        <f>(STDEV(C25,E25,G25)/C38)*100</f>
        <v>1.7963699635183765</v>
      </c>
      <c r="E38" s="23">
        <f>AVERAGE(D25,F25,H25)</f>
        <v>8.9833333333333343</v>
      </c>
      <c r="F38" s="23">
        <f>STDEV(D25,F25,H25)</f>
        <v>0.21361959960016169</v>
      </c>
      <c r="G38" s="3"/>
      <c r="H38" s="3"/>
      <c r="I38" s="26" t="s">
        <v>32</v>
      </c>
      <c r="J38" s="8">
        <v>20</v>
      </c>
      <c r="K38" s="3"/>
      <c r="L38" s="3"/>
    </row>
    <row r="39" spans="1:23" s="4" customFormat="1" x14ac:dyDescent="0.25">
      <c r="A39" s="8">
        <f t="shared" si="15"/>
        <v>4</v>
      </c>
      <c r="B39" s="23">
        <f>B24</f>
        <v>1</v>
      </c>
      <c r="C39" s="23">
        <f>AVERAGE(C24,E24,G24)</f>
        <v>1587.8731557334802</v>
      </c>
      <c r="D39" s="23">
        <f>(STDEV(C24,E24,G24)/C39)*100</f>
        <v>2.2035124575824567</v>
      </c>
      <c r="E39" s="23">
        <f>AVERAGE(D24,F24,H24)</f>
        <v>10.306666666666667</v>
      </c>
      <c r="F39" s="23">
        <f>STDEV(D24,F24,H24)</f>
        <v>0.30924639582917324</v>
      </c>
      <c r="G39" s="3"/>
      <c r="H39" s="3"/>
      <c r="I39" s="26" t="s">
        <v>33</v>
      </c>
      <c r="J39" s="8">
        <v>5</v>
      </c>
      <c r="K39" s="3"/>
      <c r="L39" s="3"/>
      <c r="T39" s="4" t="s">
        <v>70</v>
      </c>
    </row>
    <row r="40" spans="1:23" s="4" customFormat="1" x14ac:dyDescent="0.25">
      <c r="A40" s="8">
        <f t="shared" si="15"/>
        <v>4</v>
      </c>
      <c r="B40" s="23">
        <f>B23</f>
        <v>0.1</v>
      </c>
      <c r="C40" s="23">
        <f>AVERAGE(C23,E23,G23)</f>
        <v>1228.9531000713998</v>
      </c>
      <c r="D40" s="23">
        <f>(STDEV(C23,E23,G23)/C40)*100</f>
        <v>2.8744261846838715</v>
      </c>
      <c r="E40" s="23">
        <f>AVERAGE(D23,F23,H23)</f>
        <v>12.166666666666666</v>
      </c>
      <c r="F40" s="23">
        <f>STDEV(D23,F23,H23)</f>
        <v>0.34210134950527948</v>
      </c>
      <c r="G40" s="3"/>
      <c r="H40" s="3"/>
      <c r="I40" s="12" t="s">
        <v>94</v>
      </c>
      <c r="J40" s="59">
        <f>G115</f>
        <v>6567.5502942358598</v>
      </c>
      <c r="K40" s="3"/>
      <c r="L40" s="3"/>
      <c r="M40" s="37" t="s">
        <v>71</v>
      </c>
      <c r="N40" s="37" t="s">
        <v>72</v>
      </c>
      <c r="O40" s="37" t="s">
        <v>73</v>
      </c>
      <c r="P40" s="37" t="s">
        <v>74</v>
      </c>
      <c r="Q40" s="37" t="s">
        <v>75</v>
      </c>
    </row>
    <row r="41" spans="1:23" s="4" customFormat="1" x14ac:dyDescent="0.25">
      <c r="A41" s="8">
        <f t="shared" si="15"/>
        <v>20</v>
      </c>
      <c r="B41" s="23">
        <f>B28</f>
        <v>10</v>
      </c>
      <c r="C41" s="23">
        <f>AVERAGE(C28,E28,G28)</f>
        <v>1002.83926651381</v>
      </c>
      <c r="D41" s="23">
        <f>(STDEV(C28,E28,G28)/C41)*100</f>
        <v>1.7603164342711266</v>
      </c>
      <c r="E41" s="23">
        <f>AVERAGE(D28,F28,H28)</f>
        <v>15.833333333333334</v>
      </c>
      <c r="F41" s="23">
        <f>STDEV(D28,F28,H28)</f>
        <v>0.24542480178933296</v>
      </c>
      <c r="G41" s="3"/>
      <c r="H41" s="3"/>
      <c r="I41" s="69" t="s">
        <v>35</v>
      </c>
      <c r="J41" s="62">
        <f>AVERAGE(E41:E42)</f>
        <v>17.385000000000002</v>
      </c>
      <c r="K41" s="68" t="s">
        <v>104</v>
      </c>
      <c r="L41" s="3"/>
      <c r="M41" s="38" t="s">
        <v>76</v>
      </c>
      <c r="N41" s="39">
        <v>0.5</v>
      </c>
      <c r="O41" s="39">
        <v>-1</v>
      </c>
      <c r="P41" s="39">
        <v>-0.5</v>
      </c>
      <c r="Q41" s="40">
        <v>200000</v>
      </c>
      <c r="R41" s="4" t="s">
        <v>77</v>
      </c>
    </row>
    <row r="42" spans="1:23" s="4" customFormat="1" ht="17.25" x14ac:dyDescent="0.25">
      <c r="A42" s="8">
        <f t="shared" si="15"/>
        <v>20</v>
      </c>
      <c r="B42" s="23">
        <f>B27</f>
        <v>1</v>
      </c>
      <c r="C42" s="23">
        <f>AVERAGE(C27,E27,G27)</f>
        <v>668.04382127406006</v>
      </c>
      <c r="D42" s="23">
        <f>(STDEV(C27,E27,G27)/C42)*100</f>
        <v>1.8997890926907222</v>
      </c>
      <c r="E42" s="23">
        <f>AVERAGE(D27,F27,H27)</f>
        <v>18.936666666666667</v>
      </c>
      <c r="F42" s="23">
        <f>STDEV(D27,F27,H27)</f>
        <v>0.30353473167552614</v>
      </c>
      <c r="G42" s="3"/>
      <c r="H42" s="3"/>
      <c r="I42" s="32" t="s">
        <v>105</v>
      </c>
      <c r="J42" s="70">
        <f>(COS(RADIANS(J41)))^2</f>
        <v>0.91072396074197515</v>
      </c>
      <c r="K42" s="3"/>
      <c r="L42" s="3"/>
      <c r="M42" s="38" t="s">
        <v>78</v>
      </c>
      <c r="N42" s="39">
        <f>N43</f>
        <v>0.94586707425780059</v>
      </c>
      <c r="O42" s="39">
        <f>O43*-1</f>
        <v>-1.0655498491852138</v>
      </c>
      <c r="P42" s="39">
        <f>P43*-1</f>
        <v>-0.40758740031368212</v>
      </c>
      <c r="Q42" s="40">
        <f>Q43*200000</f>
        <v>219008.22168581185</v>
      </c>
      <c r="R42" s="4" t="s">
        <v>79</v>
      </c>
    </row>
    <row r="43" spans="1:23" s="4" customFormat="1" x14ac:dyDescent="0.25">
      <c r="A43" s="8">
        <f t="shared" si="15"/>
        <v>20</v>
      </c>
      <c r="B43" s="23">
        <f>B26</f>
        <v>0.1</v>
      </c>
      <c r="C43" s="23">
        <f>AVERAGE(C26,E26,G26)</f>
        <v>429.69847181095997</v>
      </c>
      <c r="D43" s="23">
        <f>(STDEV(C26,E26,G26)/C43)*100</f>
        <v>2.6663742285564176</v>
      </c>
      <c r="E43" s="23">
        <f>AVERAGE(D26,F26,H26)</f>
        <v>21.573333333333334</v>
      </c>
      <c r="F43" s="23">
        <f>STDEV(D26,F26,H26)</f>
        <v>0.44060564378288697</v>
      </c>
      <c r="G43" s="3"/>
      <c r="H43" s="3"/>
      <c r="I43" s="32" t="s">
        <v>106</v>
      </c>
      <c r="J43" s="70">
        <f>SIN(RADIANS(J41))</f>
        <v>0.29879096247715531</v>
      </c>
      <c r="K43" s="3"/>
      <c r="L43" s="3"/>
      <c r="M43" s="38" t="s">
        <v>80</v>
      </c>
      <c r="N43" s="39">
        <v>0.94586707425780059</v>
      </c>
      <c r="O43" s="39">
        <v>1.0655498491852138</v>
      </c>
      <c r="P43" s="39">
        <v>0.40758740031368212</v>
      </c>
      <c r="Q43" s="41">
        <v>1.0950411084290592</v>
      </c>
      <c r="R43" s="4" t="s">
        <v>81</v>
      </c>
    </row>
    <row r="44" spans="1:23" s="4" customFormat="1" ht="18" x14ac:dyDescent="0.35">
      <c r="A44" s="72">
        <f>A29</f>
        <v>40</v>
      </c>
      <c r="B44" s="23">
        <f>B31</f>
        <v>10</v>
      </c>
      <c r="C44" s="23">
        <f>AVERAGE(C31,E31,G31)</f>
        <v>345.72162150316996</v>
      </c>
      <c r="D44" s="23">
        <f>(STDEV(C31,E31,G31)/C44)*100</f>
        <v>5.8436131463506884</v>
      </c>
      <c r="E44" s="23">
        <f>AVERAGE(D31,F31,H31)</f>
        <v>24.196666666666669</v>
      </c>
      <c r="F44" s="23">
        <f>STDEV(D31,F31,H31)</f>
        <v>0.85001960761698481</v>
      </c>
      <c r="G44" s="3"/>
      <c r="H44" s="3"/>
      <c r="I44" s="12" t="s">
        <v>107</v>
      </c>
      <c r="J44" s="59">
        <f>(J40*J42)/J43</f>
        <v>20018.093474952122</v>
      </c>
      <c r="K44" s="3"/>
      <c r="L44" s="3"/>
    </row>
    <row r="45" spans="1:23" s="4" customFormat="1" x14ac:dyDescent="0.25">
      <c r="A45" s="72">
        <f>A30</f>
        <v>40</v>
      </c>
      <c r="B45" s="23">
        <f>B30</f>
        <v>1</v>
      </c>
      <c r="C45" s="23">
        <f>AVERAGE(C30,E30,G30)</f>
        <v>179.31499009302999</v>
      </c>
      <c r="D45" s="23">
        <f>(STDEV(C30,E30,G30)/C45)*100</f>
        <v>9.7089283257108896</v>
      </c>
      <c r="E45" s="23">
        <f>AVERAGE(D30,F30,H30)</f>
        <v>26.606666666666666</v>
      </c>
      <c r="F45" s="23">
        <f>STDEV(D30,F30,H30)</f>
        <v>1.0286560811725827</v>
      </c>
      <c r="G45" s="3"/>
      <c r="H45" s="3"/>
      <c r="I45" s="3"/>
      <c r="J45" s="3"/>
      <c r="K45" s="3"/>
      <c r="L45" s="3"/>
      <c r="M45" s="42" t="s">
        <v>82</v>
      </c>
      <c r="N45" s="42" t="s">
        <v>83</v>
      </c>
      <c r="O45" s="42" t="s">
        <v>84</v>
      </c>
    </row>
    <row r="46" spans="1:23" s="4" customFormat="1" x14ac:dyDescent="0.25">
      <c r="A46" s="72">
        <f>A31</f>
        <v>40</v>
      </c>
      <c r="B46" s="23">
        <f>B29</f>
        <v>0.1</v>
      </c>
      <c r="C46" s="23">
        <f>AVERAGE(C29,E29,G29)</f>
        <v>99.152632294903</v>
      </c>
      <c r="D46" s="23">
        <f>(STDEV(C29,E29,G29)/C46)*100</f>
        <v>10.204683990333784</v>
      </c>
      <c r="E46" s="23">
        <f>AVERAGE(D29,F29,H29)</f>
        <v>26.016666666666666</v>
      </c>
      <c r="F46" s="23">
        <f>STDEV(D29,F29,H29)</f>
        <v>0.99208534579104257</v>
      </c>
      <c r="G46" s="3"/>
      <c r="H46" s="3"/>
      <c r="I46" s="3"/>
      <c r="J46" s="3"/>
      <c r="K46" s="3"/>
      <c r="L46" s="3"/>
      <c r="M46" s="43">
        <v>100000000</v>
      </c>
      <c r="N46" s="21">
        <f t="shared" ref="N46:N62" si="16">$N$42+($P$23-$N$42)/(1+EXP($O$42+$P$42*LOG(M46)))</f>
        <v>3.4722997313987456</v>
      </c>
      <c r="O46" s="44">
        <f t="shared" ref="O46" si="17">10^N46</f>
        <v>2966.8782950737263</v>
      </c>
    </row>
    <row r="47" spans="1:23" s="4" customFormat="1" x14ac:dyDescent="0.25">
      <c r="A47" s="3"/>
      <c r="B47" s="45"/>
      <c r="C47" s="24"/>
      <c r="D47" s="24"/>
      <c r="E47" s="24"/>
      <c r="F47" s="24"/>
      <c r="G47" s="3"/>
      <c r="H47" s="3"/>
      <c r="I47" s="3"/>
      <c r="J47" s="3"/>
      <c r="K47" s="3"/>
      <c r="L47" s="3"/>
      <c r="M47" s="43">
        <v>10000000</v>
      </c>
      <c r="N47" s="21">
        <f t="shared" si="16"/>
        <v>3.4558246689829244</v>
      </c>
      <c r="O47" s="44">
        <f>10^N47</f>
        <v>2856.4371252325673</v>
      </c>
    </row>
    <row r="48" spans="1:23" s="4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43">
        <v>1000000</v>
      </c>
      <c r="N48" s="21">
        <f t="shared" si="16"/>
        <v>3.43145990056823</v>
      </c>
      <c r="O48" s="44">
        <f>10^N48</f>
        <v>2700.5977442661779</v>
      </c>
    </row>
    <row r="49" spans="1:15" s="4" customFormat="1" x14ac:dyDescent="0.25">
      <c r="A49" s="1" t="s">
        <v>85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43">
        <v>100000</v>
      </c>
      <c r="N49" s="21">
        <f t="shared" si="16"/>
        <v>3.3957122502242352</v>
      </c>
      <c r="O49" s="44">
        <f t="shared" ref="O49:O62" si="18">10^N49</f>
        <v>2487.2088263896762</v>
      </c>
    </row>
    <row r="50" spans="1:15" s="4" customFormat="1" ht="18.75" x14ac:dyDescent="0.35">
      <c r="A50" s="17" t="s">
        <v>86</v>
      </c>
      <c r="B50" s="17" t="s">
        <v>87</v>
      </c>
      <c r="C50" s="17" t="s">
        <v>73</v>
      </c>
      <c r="D50" s="17" t="s">
        <v>74</v>
      </c>
      <c r="E50" s="17" t="s">
        <v>75</v>
      </c>
      <c r="F50" s="17" t="s">
        <v>41</v>
      </c>
      <c r="G50" s="17" t="s">
        <v>88</v>
      </c>
      <c r="H50" s="3"/>
      <c r="I50" s="3"/>
      <c r="J50" s="3"/>
      <c r="K50" s="3"/>
      <c r="L50" s="3"/>
      <c r="M50" s="43">
        <v>10000</v>
      </c>
      <c r="N50" s="21">
        <f t="shared" si="16"/>
        <v>3.3438704278750073</v>
      </c>
      <c r="O50" s="44">
        <f t="shared" si="18"/>
        <v>2207.3460712054466</v>
      </c>
    </row>
    <row r="51" spans="1:15" s="4" customFormat="1" x14ac:dyDescent="0.25">
      <c r="A51" s="24">
        <f>O23</f>
        <v>3203.9938236059334</v>
      </c>
      <c r="B51" s="45">
        <f>10^N42</f>
        <v>8.8280965501164861</v>
      </c>
      <c r="C51" s="46">
        <f>O42</f>
        <v>-1.0655498491852138</v>
      </c>
      <c r="D51" s="46">
        <f>P42</f>
        <v>-0.40758740031368212</v>
      </c>
      <c r="E51" s="47">
        <f>Q42</f>
        <v>219008.22168581185</v>
      </c>
      <c r="F51" s="48">
        <f>S23</f>
        <v>0.99545518500588837</v>
      </c>
      <c r="G51" s="45">
        <f>R23/Q37</f>
        <v>4.7669775508762779E-2</v>
      </c>
      <c r="H51" s="3"/>
      <c r="I51" s="3"/>
      <c r="J51" s="3"/>
      <c r="K51" s="3"/>
      <c r="L51" s="3"/>
      <c r="M51" s="43">
        <v>1000</v>
      </c>
      <c r="N51" s="21">
        <f t="shared" si="16"/>
        <v>3.2699431162752464</v>
      </c>
      <c r="O51" s="44">
        <f t="shared" si="18"/>
        <v>1861.843257175507</v>
      </c>
    </row>
    <row r="52" spans="1:15" s="4" customForma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3">
        <v>100</v>
      </c>
      <c r="N52" s="21">
        <f t="shared" si="16"/>
        <v>3.1670123851506271</v>
      </c>
      <c r="O52" s="44">
        <f t="shared" si="18"/>
        <v>1468.9681688798385</v>
      </c>
    </row>
    <row r="53" spans="1:15" s="4" customFormat="1" x14ac:dyDescent="0.25">
      <c r="A53" s="3"/>
      <c r="B53" s="49"/>
      <c r="C53" s="50"/>
      <c r="D53" s="50"/>
      <c r="E53" s="3"/>
      <c r="F53" s="3"/>
      <c r="G53" s="3"/>
      <c r="H53" s="3"/>
      <c r="I53" s="3"/>
      <c r="J53" s="3"/>
      <c r="K53" s="3"/>
      <c r="L53" s="3"/>
      <c r="M53" s="43">
        <v>10</v>
      </c>
      <c r="N53" s="21">
        <f t="shared" si="16"/>
        <v>3.0283708135975522</v>
      </c>
      <c r="O53" s="44">
        <f t="shared" si="18"/>
        <v>1067.507201747788</v>
      </c>
    </row>
    <row r="54" spans="1:15" s="4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3">
        <v>1</v>
      </c>
      <c r="N54" s="21">
        <f t="shared" si="16"/>
        <v>2.8497358480275654</v>
      </c>
      <c r="O54" s="44">
        <f t="shared" si="18"/>
        <v>707.51531974940974</v>
      </c>
    </row>
    <row r="55" spans="1:15" s="4" customForma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3">
        <v>0.1</v>
      </c>
      <c r="N55" s="21">
        <f t="shared" si="16"/>
        <v>2.6322860006709075</v>
      </c>
      <c r="O55" s="44">
        <f t="shared" si="18"/>
        <v>428.83083006381838</v>
      </c>
    </row>
    <row r="56" spans="1:15" s="4" customForma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3">
        <v>0.01</v>
      </c>
      <c r="N56" s="21">
        <f t="shared" si="16"/>
        <v>2.3851766061059201</v>
      </c>
      <c r="O56" s="44">
        <f t="shared" si="18"/>
        <v>242.75970781665973</v>
      </c>
    </row>
    <row r="57" spans="1:15" s="4" customForma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3">
        <v>1E-3</v>
      </c>
      <c r="N57" s="21">
        <f t="shared" si="16"/>
        <v>2.1253770688642577</v>
      </c>
      <c r="O57" s="44">
        <f t="shared" si="18"/>
        <v>133.46797424403832</v>
      </c>
    </row>
    <row r="58" spans="1:15" s="4" customForma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3">
        <v>1E-4</v>
      </c>
      <c r="N58" s="21">
        <f t="shared" si="16"/>
        <v>1.8736438051385611</v>
      </c>
      <c r="O58" s="44">
        <f t="shared" si="18"/>
        <v>74.755612666592086</v>
      </c>
    </row>
    <row r="59" spans="1:15" s="4" customForma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3">
        <v>1.0000000000000001E-5</v>
      </c>
      <c r="N59" s="21">
        <f t="shared" si="16"/>
        <v>1.6482956091211505</v>
      </c>
      <c r="O59" s="44">
        <f t="shared" si="18"/>
        <v>44.493401550334639</v>
      </c>
    </row>
    <row r="60" spans="1:15" s="4" customForma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3">
        <v>9.9999999999999995E-7</v>
      </c>
      <c r="N60" s="21">
        <f t="shared" si="16"/>
        <v>1.4604253177787712</v>
      </c>
      <c r="O60" s="44">
        <f t="shared" si="18"/>
        <v>28.868573062579475</v>
      </c>
    </row>
    <row r="61" spans="1:15" s="4" customForma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3">
        <v>9.9999999999999995E-8</v>
      </c>
      <c r="N61" s="21">
        <f t="shared" si="16"/>
        <v>1.3128739783467656</v>
      </c>
      <c r="O61" s="18">
        <f t="shared" si="18"/>
        <v>20.55294113284307</v>
      </c>
    </row>
    <row r="62" spans="1:15" s="4" customForma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3">
        <v>1E-8</v>
      </c>
      <c r="N62" s="21">
        <f t="shared" si="16"/>
        <v>1.2023280297284735</v>
      </c>
      <c r="O62" s="18">
        <f t="shared" si="18"/>
        <v>15.934118026499181</v>
      </c>
    </row>
    <row r="63" spans="1:15" s="4" customForma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5" s="4" customForma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81" spans="1:7" x14ac:dyDescent="0.25">
      <c r="A81" s="8" t="s">
        <v>9</v>
      </c>
      <c r="B81" s="51" t="str">
        <f>B13</f>
        <v>CG Base CA</v>
      </c>
      <c r="C81" s="52"/>
      <c r="D81" s="53"/>
    </row>
    <row r="82" spans="1:7" x14ac:dyDescent="0.25">
      <c r="B82" s="54"/>
      <c r="C82" s="55"/>
      <c r="D82" s="55"/>
    </row>
    <row r="83" spans="1:7" x14ac:dyDescent="0.25">
      <c r="A83" s="1" t="s">
        <v>89</v>
      </c>
    </row>
    <row r="84" spans="1:7" ht="45" x14ac:dyDescent="0.25">
      <c r="A84" s="26" t="s">
        <v>90</v>
      </c>
      <c r="B84" s="26" t="s">
        <v>91</v>
      </c>
      <c r="C84" s="26" t="s">
        <v>33</v>
      </c>
      <c r="D84" s="26" t="s">
        <v>92</v>
      </c>
      <c r="E84" s="26" t="s">
        <v>93</v>
      </c>
      <c r="F84" s="12" t="s">
        <v>38</v>
      </c>
      <c r="G84" s="12" t="s">
        <v>94</v>
      </c>
    </row>
    <row r="85" spans="1:7" x14ac:dyDescent="0.25">
      <c r="A85" s="23">
        <v>-10</v>
      </c>
      <c r="B85" s="8">
        <v>14</v>
      </c>
      <c r="C85" s="8">
        <v>25</v>
      </c>
      <c r="D85" s="56">
        <f>($E$51/19.14714)*((1/(A85+273.15)-(1/($M$23+273.15))))</f>
        <v>4.4482018651728312</v>
      </c>
      <c r="E85" s="57">
        <f>10^(LOG(C85)+D85)</f>
        <v>701684.48488499748</v>
      </c>
      <c r="F85" s="58">
        <f>10^($N$42+($P$23-$N$42)/(1+EXP($O$42+$P$42*(LOG10(C85)+$Q$42/19.147142*(1/(273.2+A85)-1/($M$23+273.2))))))</f>
        <v>2671.4913556662527</v>
      </c>
      <c r="G85" s="59">
        <f>F85*6.89476</f>
        <v>18419.291739393451</v>
      </c>
    </row>
    <row r="86" spans="1:7" x14ac:dyDescent="0.25">
      <c r="A86" s="23">
        <v>-10</v>
      </c>
      <c r="B86" s="8">
        <v>14</v>
      </c>
      <c r="C86" s="8">
        <v>10</v>
      </c>
      <c r="D86" s="56">
        <f t="shared" ref="D86:D115" si="19">($E$51/19.14714)*((1/(A86+273.15)-(1/($M$23+273.15))))</f>
        <v>4.4482018651728312</v>
      </c>
      <c r="E86" s="57">
        <f t="shared" ref="E86:E115" si="20">10^(LOG(C86)+D86)</f>
        <v>280673.79395399924</v>
      </c>
      <c r="F86" s="58">
        <f t="shared" ref="F86:F115" si="21">10^($N$42+($P$23-$N$42)/(1+EXP($O$42+$P$42*(LOG10(C86)+$Q$42/19.147142*(1/(273.2+A86)-1/($M$23+273.2))))))</f>
        <v>2590.3294475596722</v>
      </c>
      <c r="G86" s="59">
        <f t="shared" ref="G86:G115" si="22">F86*6.89476</f>
        <v>17859.699861856523</v>
      </c>
    </row>
    <row r="87" spans="1:7" x14ac:dyDescent="0.25">
      <c r="A87" s="23">
        <v>-10</v>
      </c>
      <c r="B87" s="8">
        <v>14</v>
      </c>
      <c r="C87" s="8">
        <v>5</v>
      </c>
      <c r="D87" s="56">
        <f t="shared" si="19"/>
        <v>4.4482018651728312</v>
      </c>
      <c r="E87" s="57">
        <f t="shared" si="20"/>
        <v>140336.89697699962</v>
      </c>
      <c r="F87" s="58">
        <f t="shared" si="21"/>
        <v>2522.2640900371925</v>
      </c>
      <c r="G87" s="59">
        <f t="shared" si="22"/>
        <v>17390.405557424834</v>
      </c>
    </row>
    <row r="88" spans="1:7" x14ac:dyDescent="0.25">
      <c r="A88" s="23">
        <v>-10</v>
      </c>
      <c r="B88" s="8">
        <v>14</v>
      </c>
      <c r="C88" s="8">
        <v>1</v>
      </c>
      <c r="D88" s="56">
        <f t="shared" si="19"/>
        <v>4.4482018651728312</v>
      </c>
      <c r="E88" s="57">
        <f t="shared" si="20"/>
        <v>28067.379395399945</v>
      </c>
      <c r="F88" s="58">
        <f t="shared" si="21"/>
        <v>2340.8134266525694</v>
      </c>
      <c r="G88" s="59">
        <f t="shared" si="22"/>
        <v>16139.346781547069</v>
      </c>
    </row>
    <row r="89" spans="1:7" x14ac:dyDescent="0.25">
      <c r="A89" s="23">
        <v>-10</v>
      </c>
      <c r="B89" s="8">
        <v>14</v>
      </c>
      <c r="C89" s="8">
        <v>0.5</v>
      </c>
      <c r="D89" s="56">
        <f t="shared" si="19"/>
        <v>4.4482018651728312</v>
      </c>
      <c r="E89" s="57">
        <f t="shared" si="20"/>
        <v>14033.689697699971</v>
      </c>
      <c r="F89" s="58">
        <f t="shared" si="21"/>
        <v>2252.3449610027387</v>
      </c>
      <c r="G89" s="59">
        <f t="shared" si="22"/>
        <v>15529.377943323243</v>
      </c>
    </row>
    <row r="90" spans="1:7" x14ac:dyDescent="0.25">
      <c r="A90" s="23">
        <v>-10</v>
      </c>
      <c r="B90" s="8">
        <v>14</v>
      </c>
      <c r="C90" s="8">
        <v>0.1</v>
      </c>
      <c r="D90" s="56">
        <f t="shared" si="19"/>
        <v>4.4482018651728312</v>
      </c>
      <c r="E90" s="57">
        <f t="shared" si="20"/>
        <v>2806.7379395399912</v>
      </c>
      <c r="F90" s="58">
        <f t="shared" si="21"/>
        <v>2023.5688985601651</v>
      </c>
      <c r="G90" s="59">
        <f t="shared" si="22"/>
        <v>13952.021899036683</v>
      </c>
    </row>
    <row r="91" spans="1:7" x14ac:dyDescent="0.25">
      <c r="A91" s="23">
        <v>4.4444444444444446</v>
      </c>
      <c r="B91" s="8">
        <v>40</v>
      </c>
      <c r="C91" s="8">
        <v>25</v>
      </c>
      <c r="D91" s="56">
        <f t="shared" si="19"/>
        <v>2.1864591285559407</v>
      </c>
      <c r="E91" s="57">
        <f t="shared" si="20"/>
        <v>3840.6005274905119</v>
      </c>
      <c r="F91" s="58">
        <f t="shared" si="21"/>
        <v>2070.8878887037663</v>
      </c>
      <c r="G91" s="59">
        <f t="shared" si="22"/>
        <v>14278.274979519179</v>
      </c>
    </row>
    <row r="92" spans="1:7" x14ac:dyDescent="0.25">
      <c r="A92" s="23">
        <v>4.4444444444444446</v>
      </c>
      <c r="B92" s="8">
        <v>40</v>
      </c>
      <c r="C92" s="8">
        <v>10</v>
      </c>
      <c r="D92" s="56">
        <f t="shared" si="19"/>
        <v>2.1864591285559407</v>
      </c>
      <c r="E92" s="57">
        <f t="shared" si="20"/>
        <v>1536.240210996202</v>
      </c>
      <c r="F92" s="58">
        <f t="shared" si="21"/>
        <v>1930.4132270247517</v>
      </c>
      <c r="G92" s="59">
        <f t="shared" si="22"/>
        <v>13309.735901161177</v>
      </c>
    </row>
    <row r="93" spans="1:7" x14ac:dyDescent="0.25">
      <c r="A93" s="23">
        <v>4.4444444444444446</v>
      </c>
      <c r="B93" s="8">
        <v>40</v>
      </c>
      <c r="C93" s="8">
        <v>5</v>
      </c>
      <c r="D93" s="56">
        <f t="shared" si="19"/>
        <v>2.1864591285559407</v>
      </c>
      <c r="E93" s="57">
        <f t="shared" si="20"/>
        <v>768.120105498101</v>
      </c>
      <c r="F93" s="58">
        <f t="shared" si="21"/>
        <v>1818.3873570474002</v>
      </c>
      <c r="G93" s="59">
        <f t="shared" si="22"/>
        <v>12537.344413876133</v>
      </c>
    </row>
    <row r="94" spans="1:7" x14ac:dyDescent="0.25">
      <c r="A94" s="23">
        <v>4.4444444444444446</v>
      </c>
      <c r="B94" s="8">
        <v>40</v>
      </c>
      <c r="C94" s="8">
        <v>1</v>
      </c>
      <c r="D94" s="56">
        <f t="shared" si="19"/>
        <v>2.1864591285559407</v>
      </c>
      <c r="E94" s="57">
        <f t="shared" si="20"/>
        <v>153.62402109962017</v>
      </c>
      <c r="F94" s="58">
        <f t="shared" si="21"/>
        <v>1543.9809540423923</v>
      </c>
      <c r="G94" s="59">
        <f t="shared" si="22"/>
        <v>10645.378122693324</v>
      </c>
    </row>
    <row r="95" spans="1:7" x14ac:dyDescent="0.25">
      <c r="A95" s="23">
        <v>4.4444444444444446</v>
      </c>
      <c r="B95" s="8">
        <v>40</v>
      </c>
      <c r="C95" s="8">
        <v>0.5</v>
      </c>
      <c r="D95" s="56">
        <f t="shared" si="19"/>
        <v>2.1864591285559407</v>
      </c>
      <c r="E95" s="57">
        <f t="shared" si="20"/>
        <v>76.812010549810083</v>
      </c>
      <c r="F95" s="58">
        <f t="shared" si="21"/>
        <v>1422.1884269812663</v>
      </c>
      <c r="G95" s="59">
        <f t="shared" si="22"/>
        <v>9805.6478788133554</v>
      </c>
    </row>
    <row r="96" spans="1:7" x14ac:dyDescent="0.25">
      <c r="A96" s="23">
        <v>4.4444444444444446</v>
      </c>
      <c r="B96" s="8">
        <v>40</v>
      </c>
      <c r="C96" s="8">
        <v>0.1</v>
      </c>
      <c r="D96" s="56">
        <f t="shared" si="19"/>
        <v>2.1864591285559407</v>
      </c>
      <c r="E96" s="57">
        <f t="shared" si="20"/>
        <v>15.362402109962021</v>
      </c>
      <c r="F96" s="58">
        <f t="shared" si="21"/>
        <v>1140.4237463863874</v>
      </c>
      <c r="G96" s="59">
        <f t="shared" si="22"/>
        <v>7862.9480296350084</v>
      </c>
    </row>
    <row r="97" spans="1:7" x14ac:dyDescent="0.25">
      <c r="A97" s="23">
        <v>21.111111111111111</v>
      </c>
      <c r="B97" s="8">
        <v>70</v>
      </c>
      <c r="C97" s="8">
        <v>25</v>
      </c>
      <c r="D97" s="56">
        <f t="shared" si="19"/>
        <v>-0.14733001313021377</v>
      </c>
      <c r="E97" s="57">
        <f t="shared" si="20"/>
        <v>17.807788769003199</v>
      </c>
      <c r="F97" s="58">
        <f t="shared" si="21"/>
        <v>1166.218168704223</v>
      </c>
      <c r="G97" s="59">
        <f t="shared" si="22"/>
        <v>8040.7943808551281</v>
      </c>
    </row>
    <row r="98" spans="1:7" x14ac:dyDescent="0.25">
      <c r="A98" s="23">
        <v>21.111111111111111</v>
      </c>
      <c r="B98" s="8">
        <v>70</v>
      </c>
      <c r="C98" s="8">
        <v>10</v>
      </c>
      <c r="D98" s="56">
        <f t="shared" si="19"/>
        <v>-0.14733001313021377</v>
      </c>
      <c r="E98" s="57">
        <f t="shared" si="20"/>
        <v>7.1231155076012778</v>
      </c>
      <c r="F98" s="58">
        <f t="shared" si="21"/>
        <v>1010.6959292940406</v>
      </c>
      <c r="G98" s="59">
        <f t="shared" si="22"/>
        <v>6968.5058654593795</v>
      </c>
    </row>
    <row r="99" spans="1:7" x14ac:dyDescent="0.25">
      <c r="A99" s="23">
        <v>21.111111111111111</v>
      </c>
      <c r="B99" s="8">
        <v>70</v>
      </c>
      <c r="C99" s="8">
        <v>5</v>
      </c>
      <c r="D99" s="56">
        <f t="shared" si="19"/>
        <v>-0.14733001313021377</v>
      </c>
      <c r="E99" s="57">
        <f t="shared" si="20"/>
        <v>3.5615577538006389</v>
      </c>
      <c r="F99" s="58">
        <f t="shared" si="21"/>
        <v>898.10009231413994</v>
      </c>
      <c r="G99" s="59">
        <f t="shared" si="22"/>
        <v>6192.184592483839</v>
      </c>
    </row>
    <row r="100" spans="1:7" x14ac:dyDescent="0.25">
      <c r="A100" s="23">
        <v>21.111111111111111</v>
      </c>
      <c r="B100" s="8">
        <v>70</v>
      </c>
      <c r="C100" s="8">
        <v>1</v>
      </c>
      <c r="D100" s="56">
        <f t="shared" si="19"/>
        <v>-0.14733001313021377</v>
      </c>
      <c r="E100" s="57">
        <f t="shared" si="20"/>
        <v>0.71231155076012753</v>
      </c>
      <c r="F100" s="58">
        <f t="shared" si="21"/>
        <v>660.72943007764707</v>
      </c>
      <c r="G100" s="59">
        <f t="shared" si="22"/>
        <v>4555.5708453221578</v>
      </c>
    </row>
    <row r="101" spans="1:7" x14ac:dyDescent="0.25">
      <c r="A101" s="23">
        <v>21.111111111111111</v>
      </c>
      <c r="B101" s="8">
        <v>70</v>
      </c>
      <c r="C101" s="8">
        <v>0.5</v>
      </c>
      <c r="D101" s="56">
        <f t="shared" si="19"/>
        <v>-0.14733001313021377</v>
      </c>
      <c r="E101" s="57">
        <f t="shared" si="20"/>
        <v>0.35615577538006377</v>
      </c>
      <c r="F101" s="58">
        <f t="shared" si="21"/>
        <v>571.09102514452638</v>
      </c>
      <c r="G101" s="59">
        <f t="shared" si="22"/>
        <v>3937.5355565254745</v>
      </c>
    </row>
    <row r="102" spans="1:7" x14ac:dyDescent="0.25">
      <c r="A102" s="23">
        <v>21.111111111111111</v>
      </c>
      <c r="B102" s="8">
        <v>70</v>
      </c>
      <c r="C102" s="8">
        <v>0.1</v>
      </c>
      <c r="D102" s="56">
        <f t="shared" si="19"/>
        <v>-0.14733001313021377</v>
      </c>
      <c r="E102" s="57">
        <f t="shared" si="20"/>
        <v>7.1231155076012728E-2</v>
      </c>
      <c r="F102" s="58">
        <f t="shared" si="21"/>
        <v>395.75197646204668</v>
      </c>
      <c r="G102" s="59">
        <f t="shared" si="22"/>
        <v>2728.6148972314609</v>
      </c>
    </row>
    <row r="103" spans="1:7" x14ac:dyDescent="0.25">
      <c r="A103" s="23">
        <v>37.777777777777779</v>
      </c>
      <c r="B103" s="8">
        <v>100</v>
      </c>
      <c r="C103" s="8">
        <v>25</v>
      </c>
      <c r="D103" s="56">
        <f t="shared" si="19"/>
        <v>-2.2309228811172876</v>
      </c>
      <c r="E103" s="57">
        <f t="shared" si="20"/>
        <v>0.14689842097899272</v>
      </c>
      <c r="F103" s="58">
        <f t="shared" si="21"/>
        <v>469.02040486014897</v>
      </c>
      <c r="G103" s="59">
        <f t="shared" si="22"/>
        <v>3233.7831266135604</v>
      </c>
    </row>
    <row r="104" spans="1:7" x14ac:dyDescent="0.25">
      <c r="A104" s="23">
        <v>37.777777777777779</v>
      </c>
      <c r="B104" s="8">
        <v>100</v>
      </c>
      <c r="C104" s="8">
        <v>10</v>
      </c>
      <c r="D104" s="56">
        <f t="shared" si="19"/>
        <v>-2.2309228811172876</v>
      </c>
      <c r="E104" s="57">
        <f t="shared" si="20"/>
        <v>5.8759368391597074E-2</v>
      </c>
      <c r="F104" s="58">
        <f t="shared" si="21"/>
        <v>378.02989409517187</v>
      </c>
      <c r="G104" s="59">
        <f t="shared" si="22"/>
        <v>2606.4253926116271</v>
      </c>
    </row>
    <row r="105" spans="1:7" x14ac:dyDescent="0.25">
      <c r="A105" s="23">
        <v>37.777777777777779</v>
      </c>
      <c r="B105" s="8">
        <v>100</v>
      </c>
      <c r="C105" s="8">
        <v>5</v>
      </c>
      <c r="D105" s="56">
        <f t="shared" si="19"/>
        <v>-2.2309228811172876</v>
      </c>
      <c r="E105" s="57">
        <f t="shared" si="20"/>
        <v>2.9379684195798519E-2</v>
      </c>
      <c r="F105" s="58">
        <f t="shared" si="21"/>
        <v>318.99630957795483</v>
      </c>
      <c r="G105" s="59">
        <f t="shared" si="22"/>
        <v>2199.4029954256998</v>
      </c>
    </row>
    <row r="106" spans="1:7" x14ac:dyDescent="0.25">
      <c r="A106" s="23">
        <v>37.777777777777779</v>
      </c>
      <c r="B106" s="8">
        <v>100</v>
      </c>
      <c r="C106" s="8">
        <v>1</v>
      </c>
      <c r="D106" s="56">
        <f t="shared" si="19"/>
        <v>-2.2309228811172876</v>
      </c>
      <c r="E106" s="57">
        <f t="shared" si="20"/>
        <v>5.8759368391597061E-3</v>
      </c>
      <c r="F106" s="58">
        <f t="shared" si="21"/>
        <v>211.72086369846792</v>
      </c>
      <c r="G106" s="59">
        <f t="shared" si="22"/>
        <v>1459.7645421936486</v>
      </c>
    </row>
    <row r="107" spans="1:7" x14ac:dyDescent="0.25">
      <c r="A107" s="23">
        <v>37.777777777777779</v>
      </c>
      <c r="B107" s="8">
        <v>100</v>
      </c>
      <c r="C107" s="8">
        <v>0.5</v>
      </c>
      <c r="D107" s="56">
        <f t="shared" si="19"/>
        <v>-2.2309228811172876</v>
      </c>
      <c r="E107" s="57">
        <f t="shared" si="20"/>
        <v>2.9379684195798526E-3</v>
      </c>
      <c r="F107" s="58">
        <f t="shared" si="21"/>
        <v>176.78509105071268</v>
      </c>
      <c r="G107" s="59">
        <f t="shared" si="22"/>
        <v>1218.8907743728116</v>
      </c>
    </row>
    <row r="108" spans="1:7" x14ac:dyDescent="0.25">
      <c r="A108" s="23">
        <v>37.777777777777779</v>
      </c>
      <c r="B108" s="8">
        <v>100</v>
      </c>
      <c r="C108" s="8">
        <v>0.1</v>
      </c>
      <c r="D108" s="56">
        <f t="shared" si="19"/>
        <v>-2.2309228811172876</v>
      </c>
      <c r="E108" s="57">
        <f t="shared" si="20"/>
        <v>5.8759368391597048E-4</v>
      </c>
      <c r="F108" s="58">
        <f t="shared" si="21"/>
        <v>116.40404779611865</v>
      </c>
      <c r="G108" s="59">
        <f t="shared" si="22"/>
        <v>802.57797258276696</v>
      </c>
    </row>
    <row r="109" spans="1:7" x14ac:dyDescent="0.25">
      <c r="A109" s="23">
        <v>54.444444444444443</v>
      </c>
      <c r="B109" s="8">
        <v>130</v>
      </c>
      <c r="C109" s="8">
        <v>25</v>
      </c>
      <c r="D109" s="56">
        <f t="shared" si="19"/>
        <v>-4.1025063674515359</v>
      </c>
      <c r="E109" s="57">
        <f t="shared" si="20"/>
        <v>1.9743931755265187E-3</v>
      </c>
      <c r="F109" s="58">
        <f t="shared" si="21"/>
        <v>159.43332748207069</v>
      </c>
      <c r="G109" s="59">
        <f t="shared" si="22"/>
        <v>1099.2545289902816</v>
      </c>
    </row>
    <row r="110" spans="1:7" x14ac:dyDescent="0.25">
      <c r="A110" s="23">
        <v>54.444444444444443</v>
      </c>
      <c r="B110" s="8">
        <v>130</v>
      </c>
      <c r="C110" s="8">
        <v>10</v>
      </c>
      <c r="D110" s="56">
        <f t="shared" si="19"/>
        <v>-4.1025063674515359</v>
      </c>
      <c r="E110" s="57">
        <f t="shared" si="20"/>
        <v>7.8975727021060756E-4</v>
      </c>
      <c r="F110" s="58">
        <f t="shared" si="21"/>
        <v>125.65907003215928</v>
      </c>
      <c r="G110" s="59">
        <f t="shared" si="22"/>
        <v>866.38912969493049</v>
      </c>
    </row>
    <row r="111" spans="1:7" x14ac:dyDescent="0.25">
      <c r="A111" s="23">
        <v>54.444444444444443</v>
      </c>
      <c r="B111" s="8">
        <v>130</v>
      </c>
      <c r="C111" s="8">
        <v>5</v>
      </c>
      <c r="D111" s="56">
        <f t="shared" si="19"/>
        <v>-4.1025063674515359</v>
      </c>
      <c r="E111" s="57">
        <f t="shared" si="20"/>
        <v>3.9487863510530378E-4</v>
      </c>
      <c r="F111" s="58">
        <f t="shared" si="21"/>
        <v>105.19786911468229</v>
      </c>
      <c r="G111" s="59">
        <f t="shared" si="22"/>
        <v>725.31406005714689</v>
      </c>
    </row>
    <row r="112" spans="1:7" x14ac:dyDescent="0.25">
      <c r="A112" s="23">
        <v>54.444444444444443</v>
      </c>
      <c r="B112" s="8">
        <v>130</v>
      </c>
      <c r="C112" s="8">
        <v>1</v>
      </c>
      <c r="D112" s="56">
        <f t="shared" si="19"/>
        <v>-4.1025063674515359</v>
      </c>
      <c r="E112" s="57">
        <f t="shared" si="20"/>
        <v>7.8975727021060807E-5</v>
      </c>
      <c r="F112" s="58">
        <f t="shared" si="21"/>
        <v>70.695345390652562</v>
      </c>
      <c r="G112" s="59">
        <f t="shared" si="22"/>
        <v>487.42743958565563</v>
      </c>
    </row>
    <row r="113" spans="1:8" x14ac:dyDescent="0.25">
      <c r="A113" s="23">
        <v>54.444444444444443</v>
      </c>
      <c r="B113" s="8">
        <v>130</v>
      </c>
      <c r="C113" s="8">
        <v>0.5</v>
      </c>
      <c r="D113" s="56">
        <f t="shared" si="19"/>
        <v>-4.1025063674515359</v>
      </c>
      <c r="E113" s="57">
        <f t="shared" si="20"/>
        <v>3.9487863510530404E-5</v>
      </c>
      <c r="F113" s="58">
        <f t="shared" si="21"/>
        <v>60.119994725283881</v>
      </c>
      <c r="G113" s="59">
        <f t="shared" si="22"/>
        <v>414.51293483209827</v>
      </c>
    </row>
    <row r="114" spans="1:8" x14ac:dyDescent="0.25">
      <c r="A114" s="23">
        <v>54.444444444444443</v>
      </c>
      <c r="B114" s="8">
        <v>130</v>
      </c>
      <c r="C114" s="8">
        <v>0.1</v>
      </c>
      <c r="D114" s="56">
        <f t="shared" si="19"/>
        <v>-4.1025063674515359</v>
      </c>
      <c r="E114" s="57">
        <f t="shared" si="20"/>
        <v>7.8975727021060713E-6</v>
      </c>
      <c r="F114" s="58">
        <f t="shared" si="21"/>
        <v>42.410482296178593</v>
      </c>
      <c r="G114" s="59">
        <f t="shared" si="22"/>
        <v>292.41009691640028</v>
      </c>
    </row>
    <row r="115" spans="1:8" x14ac:dyDescent="0.25">
      <c r="A115" s="62">
        <v>20</v>
      </c>
      <c r="B115" s="63">
        <f>CONVERT(A115,"C","F")</f>
        <v>68</v>
      </c>
      <c r="C115" s="63">
        <v>5</v>
      </c>
      <c r="D115" s="64">
        <f t="shared" si="19"/>
        <v>0</v>
      </c>
      <c r="E115" s="65">
        <f t="shared" si="20"/>
        <v>5.0000000000000018</v>
      </c>
      <c r="F115" s="66">
        <f t="shared" si="21"/>
        <v>952.54226314416462</v>
      </c>
      <c r="G115" s="67">
        <f t="shared" si="22"/>
        <v>6567.5502942358598</v>
      </c>
      <c r="H115" s="68" t="s">
        <v>103</v>
      </c>
    </row>
  </sheetData>
  <mergeCells count="16">
    <mergeCell ref="I37:J37"/>
    <mergeCell ref="B53:D53"/>
    <mergeCell ref="B81:D81"/>
    <mergeCell ref="E21:F21"/>
    <mergeCell ref="G21:H21"/>
    <mergeCell ref="M25:N25"/>
    <mergeCell ref="A36:B36"/>
    <mergeCell ref="C36:D36"/>
    <mergeCell ref="E36:F36"/>
    <mergeCell ref="B1:D1"/>
    <mergeCell ref="B2:D2"/>
    <mergeCell ref="B3:D3"/>
    <mergeCell ref="B4:D4"/>
    <mergeCell ref="B13:D13"/>
    <mergeCell ref="A21:B21"/>
    <mergeCell ref="C21:D21"/>
  </mergeCells>
  <pageMargins left="0.7" right="0.7" top="0.75" bottom="0.75" header="0.3" footer="0.3"/>
  <pageSetup scale="57" orientation="portrait" r:id="rId1"/>
  <rowBreaks count="1" manualBreakCount="1">
    <brk id="79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N1-1 RH</vt:lpstr>
      <vt:lpstr>N1-1 CA</vt:lpstr>
      <vt:lpstr>N2-1 RH</vt:lpstr>
      <vt:lpstr>N2-1 CA</vt:lpstr>
      <vt:lpstr>N5-1 RH</vt:lpstr>
      <vt:lpstr>N5-1 CA</vt:lpstr>
      <vt:lpstr>N8-1 RH</vt:lpstr>
      <vt:lpstr>N8-1 CA</vt:lpstr>
      <vt:lpstr>S5-1 RH</vt:lpstr>
      <vt:lpstr>S5-1 CA</vt:lpstr>
      <vt:lpstr>S6-1 RH</vt:lpstr>
      <vt:lpstr>S6-1 CA</vt:lpstr>
      <vt:lpstr>S13-1 RH</vt:lpstr>
      <vt:lpstr>S13-1 CA</vt:lpstr>
      <vt:lpstr>CG Base RH</vt:lpstr>
      <vt:lpstr>CG Base CA</vt:lpstr>
      <vt:lpstr>'CG Base CA'!Print_Area</vt:lpstr>
      <vt:lpstr>'CG Base RH'!Print_Area</vt:lpstr>
      <vt:lpstr>'N1-1 CA'!Print_Area</vt:lpstr>
      <vt:lpstr>'N1-1 RH'!Print_Area</vt:lpstr>
      <vt:lpstr>'N2-1 CA'!Print_Area</vt:lpstr>
      <vt:lpstr>'N2-1 RH'!Print_Area</vt:lpstr>
      <vt:lpstr>'N5-1 CA'!Print_Area</vt:lpstr>
      <vt:lpstr>'N5-1 RH'!Print_Area</vt:lpstr>
      <vt:lpstr>'N8-1 CA'!Print_Area</vt:lpstr>
      <vt:lpstr>'N8-1 RH'!Print_Area</vt:lpstr>
      <vt:lpstr>'S13-1 CA'!Print_Area</vt:lpstr>
      <vt:lpstr>'S13-1 RH'!Print_Area</vt:lpstr>
      <vt:lpstr>'S5-1 CA'!Print_Area</vt:lpstr>
      <vt:lpstr>'S5-1 RH'!Print_Area</vt:lpstr>
      <vt:lpstr>'S6-1 CA'!Print_Area</vt:lpstr>
      <vt:lpstr>'S6-1 RH'!Print_Area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Taylor</dc:creator>
  <cp:lastModifiedBy>Adam Taylor</cp:lastModifiedBy>
  <dcterms:created xsi:type="dcterms:W3CDTF">2026-06-23T20:32:23Z</dcterms:created>
  <dcterms:modified xsi:type="dcterms:W3CDTF">2026-06-23T21:54:04Z</dcterms:modified>
</cp:coreProperties>
</file>